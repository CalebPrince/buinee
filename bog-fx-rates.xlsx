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3.3.10 Exchange Rates\2026\"/>
    </mc:Choice>
  </mc:AlternateContent>
  <xr:revisionPtr revIDLastSave="0" documentId="13_ncr:1_{860010C6-E017-48E4-8B8C-28A8544ACF88}" xr6:coauthVersionLast="47" xr6:coauthVersionMax="47" xr10:uidLastSave="{00000000-0000-0000-0000-000000000000}"/>
  <bookViews>
    <workbookView xWindow="-110" yWindow="-110" windowWidth="19420" windowHeight="11500" tabRatio="894" xr2:uid="{00000000-000D-0000-FFFF-FFFF00000000}"/>
  </bookViews>
  <sheets>
    <sheet name="Summary" sheetId="35" r:id="rId1"/>
    <sheet name="01-07" sheetId="45" r:id="rId2"/>
    <sheet name="02-07" sheetId="2" r:id="rId3"/>
    <sheet name="03-06" sheetId="5" r:id="rId4"/>
    <sheet name="06-07" sheetId="46" r:id="rId5"/>
    <sheet name="07-07" sheetId="47" r:id="rId6"/>
    <sheet name="09-01" sheetId="9" state="hidden" r:id="rId7"/>
    <sheet name="08-07" sheetId="7" r:id="rId8"/>
    <sheet name="09-07" sheetId="51" r:id="rId9"/>
    <sheet name="10-07" sheetId="48" r:id="rId10"/>
    <sheet name="13-07" sheetId="29" r:id="rId11"/>
    <sheet name="14-07" sheetId="30" r:id="rId12"/>
    <sheet name="15-07" sheetId="33" r:id="rId13"/>
    <sheet name="16-07" sheetId="34" r:id="rId14"/>
    <sheet name="17-07" sheetId="36" r:id="rId15"/>
    <sheet name="20-07" sheetId="37" r:id="rId16"/>
    <sheet name="21-07" sheetId="39" r:id="rId17"/>
    <sheet name="22-06" sheetId="40" r:id="rId18"/>
    <sheet name="23-07" sheetId="41" r:id="rId19"/>
    <sheet name="24-07" sheetId="57" r:id="rId20"/>
    <sheet name="27-07" sheetId="55" r:id="rId21"/>
    <sheet name="28-07" sheetId="61" r:id="rId22"/>
    <sheet name="29-07 " sheetId="62" r:id="rId23"/>
    <sheet name="30-07" sheetId="63" r:id="rId24"/>
    <sheet name="31-07" sheetId="64" r:id="rId25"/>
    <sheet name="Sheet1" sheetId="58" state="hidden" r:id="rId26"/>
    <sheet name="30-01" sheetId="49" state="hidden" r:id="rId27"/>
    <sheet name="28-01" sheetId="42" state="hidden" r:id="rId28"/>
    <sheet name="30-10" sheetId="50" state="hidden" r:id="rId29"/>
    <sheet name="30-0100" sheetId="53" state="hidden" r:id="rId30"/>
  </sheets>
  <definedNames>
    <definedName name="_xlnm.Print_Area" localSheetId="0">Summary!$A$1:$R$39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35" l="1" a="1"/>
  <c r="E24" i="64"/>
  <c r="G24" i="64" s="1"/>
  <c r="E23" i="64"/>
  <c r="G23" i="64" s="1"/>
  <c r="G22" i="64"/>
  <c r="E22" i="64"/>
  <c r="G21" i="64"/>
  <c r="E21" i="64" s="1"/>
  <c r="G20" i="64"/>
  <c r="E20" i="64"/>
  <c r="G19" i="64"/>
  <c r="E19" i="64"/>
  <c r="G18" i="64"/>
  <c r="E18" i="64"/>
  <c r="E17" i="64"/>
  <c r="G17" i="64" s="1"/>
  <c r="E16" i="64"/>
  <c r="G16" i="64" s="1"/>
  <c r="E15" i="64"/>
  <c r="G15" i="64" s="1"/>
  <c r="E14" i="64"/>
  <c r="G14" i="64" s="1"/>
  <c r="E13" i="64"/>
  <c r="G13" i="64" s="1"/>
  <c r="E12" i="64"/>
  <c r="G12" i="64" s="1"/>
  <c r="E11" i="64"/>
  <c r="G11" i="64" s="1"/>
  <c r="E10" i="64"/>
  <c r="G10" i="64" s="1"/>
  <c r="G9" i="64"/>
  <c r="E9" i="64"/>
  <c r="E8" i="64"/>
  <c r="G8" i="64" s="1"/>
  <c r="E7" i="64"/>
  <c r="G7" i="64" s="1"/>
  <c r="E6" i="64"/>
  <c r="G6" i="64" s="1"/>
  <c r="E5" i="64"/>
  <c r="G5" i="64" s="1"/>
  <c r="E24" i="63"/>
  <c r="G24" i="63" s="1"/>
  <c r="E23" i="63"/>
  <c r="G23" i="63" s="1"/>
  <c r="G22" i="63"/>
  <c r="E22" i="63" s="1"/>
  <c r="G21" i="63"/>
  <c r="E21" i="63" s="1"/>
  <c r="G20" i="63"/>
  <c r="E20" i="63" s="1"/>
  <c r="G19" i="63"/>
  <c r="E19" i="63" s="1"/>
  <c r="G18" i="63"/>
  <c r="E18" i="63" s="1"/>
  <c r="E17" i="63"/>
  <c r="G17" i="63" s="1"/>
  <c r="E16" i="63"/>
  <c r="E15" i="63"/>
  <c r="G15" i="63" s="1"/>
  <c r="E14" i="63"/>
  <c r="G14" i="63" s="1"/>
  <c r="E13" i="63"/>
  <c r="G13" i="63" s="1"/>
  <c r="E12" i="63"/>
  <c r="G12" i="63" s="1"/>
  <c r="E11" i="63"/>
  <c r="G11" i="63" s="1"/>
  <c r="E10" i="63"/>
  <c r="G10" i="63" s="1"/>
  <c r="E9" i="63"/>
  <c r="G9" i="63" s="1"/>
  <c r="E8" i="63"/>
  <c r="G8" i="63" s="1"/>
  <c r="E7" i="63"/>
  <c r="G7" i="63" s="1"/>
  <c r="E6" i="63"/>
  <c r="E5" i="63"/>
  <c r="A2" i="2"/>
  <c r="A2" i="5" s="1"/>
  <c r="A2" i="46" s="1"/>
  <c r="E24" i="62"/>
  <c r="G24" i="62" s="1"/>
  <c r="E23" i="62"/>
  <c r="G23" i="62" s="1"/>
  <c r="G22" i="62"/>
  <c r="G21" i="62"/>
  <c r="G20" i="62"/>
  <c r="G19" i="62"/>
  <c r="G18" i="62"/>
  <c r="E17" i="62"/>
  <c r="G17" i="62" s="1"/>
  <c r="E16" i="62"/>
  <c r="G16" i="62" s="1"/>
  <c r="E15" i="62"/>
  <c r="G15" i="62" s="1"/>
  <c r="E14" i="62"/>
  <c r="G14" i="62" s="1"/>
  <c r="E13" i="62"/>
  <c r="G13" i="62" s="1"/>
  <c r="E12" i="62"/>
  <c r="G12" i="62" s="1"/>
  <c r="E11" i="62"/>
  <c r="G11" i="62" s="1"/>
  <c r="E10" i="62"/>
  <c r="G10" i="62" s="1"/>
  <c r="E9" i="62"/>
  <c r="G9" i="62" s="1"/>
  <c r="E8" i="62"/>
  <c r="G8" i="62" s="1"/>
  <c r="E7" i="62"/>
  <c r="G7" i="62" s="1"/>
  <c r="E6" i="62"/>
  <c r="G6" i="62" s="1"/>
  <c r="E5" i="62"/>
  <c r="G5" i="62" s="1"/>
  <c r="E24" i="61"/>
  <c r="G24" i="61" s="1"/>
  <c r="E23" i="61"/>
  <c r="G23" i="61" s="1"/>
  <c r="G22" i="61"/>
  <c r="E22" i="61" s="1"/>
  <c r="G21" i="61"/>
  <c r="E21" i="61" s="1"/>
  <c r="G20" i="61"/>
  <c r="E20" i="61" s="1"/>
  <c r="G19" i="61"/>
  <c r="E19" i="61" s="1"/>
  <c r="G18" i="61"/>
  <c r="E18" i="61" s="1"/>
  <c r="E17" i="61"/>
  <c r="G17" i="61" s="1"/>
  <c r="E16" i="61"/>
  <c r="G16" i="61" s="1"/>
  <c r="E15" i="61"/>
  <c r="G15" i="61" s="1"/>
  <c r="E14" i="61"/>
  <c r="G14" i="61" s="1"/>
  <c r="E13" i="61"/>
  <c r="G13" i="61" s="1"/>
  <c r="E12" i="61"/>
  <c r="G12" i="61" s="1"/>
  <c r="E11" i="61"/>
  <c r="G11" i="61" s="1"/>
  <c r="E10" i="61"/>
  <c r="G10" i="61" s="1"/>
  <c r="E9" i="61"/>
  <c r="G9" i="61" s="1"/>
  <c r="E8" i="61"/>
  <c r="G8" i="61" s="1"/>
  <c r="E7" i="61"/>
  <c r="G7" i="61" s="1"/>
  <c r="E6" i="61"/>
  <c r="G6" i="61" s="1"/>
  <c r="E5" i="61"/>
  <c r="G5" i="61" s="1"/>
  <c r="G16" i="63" l="1"/>
  <c r="F29" i="35"/>
  <c r="G6" i="63"/>
  <c r="H29" i="35"/>
  <c r="G5" i="63"/>
  <c r="D29" i="35"/>
  <c r="P29" i="35"/>
  <c r="D28" i="35"/>
  <c r="F28" i="35"/>
  <c r="H28" i="35"/>
  <c r="L28" i="35"/>
  <c r="E20" i="62"/>
  <c r="E22" i="62"/>
  <c r="E19" i="62"/>
  <c r="E18" i="62"/>
  <c r="E21" i="62"/>
  <c r="H27" i="35"/>
  <c r="D27" i="35"/>
  <c r="F27" i="35"/>
  <c r="L27" i="35" s="1"/>
  <c r="E24" i="57"/>
  <c r="G24" i="57" s="1"/>
  <c r="E23" i="57"/>
  <c r="G23" i="57" s="1"/>
  <c r="G22" i="57"/>
  <c r="E22" i="57" s="1"/>
  <c r="G21" i="57"/>
  <c r="E21" i="57" s="1"/>
  <c r="G20" i="57"/>
  <c r="E20" i="57" s="1"/>
  <c r="G19" i="57"/>
  <c r="E19" i="57" s="1"/>
  <c r="G18" i="57"/>
  <c r="E18" i="57" s="1"/>
  <c r="E17" i="57"/>
  <c r="G17" i="57" s="1"/>
  <c r="E16" i="57"/>
  <c r="E15" i="57"/>
  <c r="G15" i="57" s="1"/>
  <c r="E14" i="57"/>
  <c r="G14" i="57" s="1"/>
  <c r="E13" i="57"/>
  <c r="G13" i="57" s="1"/>
  <c r="E12" i="57"/>
  <c r="G12" i="57" s="1"/>
  <c r="E11" i="57"/>
  <c r="G11" i="57" s="1"/>
  <c r="E10" i="57"/>
  <c r="G10" i="57" s="1"/>
  <c r="E9" i="57"/>
  <c r="G9" i="57" s="1"/>
  <c r="E8" i="57"/>
  <c r="G8" i="57" s="1"/>
  <c r="E7" i="57"/>
  <c r="G7" i="57" s="1"/>
  <c r="E6" i="57"/>
  <c r="E5" i="57"/>
  <c r="E5" i="45"/>
  <c r="E6" i="45"/>
  <c r="G6" i="45" s="1"/>
  <c r="E7" i="45"/>
  <c r="G7" i="45" s="1"/>
  <c r="E8" i="45"/>
  <c r="G8" i="45" s="1"/>
  <c r="E9" i="45"/>
  <c r="G9" i="45" s="1"/>
  <c r="E10" i="45"/>
  <c r="G10" i="45" s="1"/>
  <c r="E11" i="45"/>
  <c r="G11" i="45" s="1"/>
  <c r="E12" i="45"/>
  <c r="G12" i="45" s="1"/>
  <c r="E13" i="45"/>
  <c r="G13" i="45" s="1"/>
  <c r="E14" i="45"/>
  <c r="G14" i="45" s="1"/>
  <c r="E15" i="45"/>
  <c r="G15" i="45" s="1"/>
  <c r="E16" i="45"/>
  <c r="G16" i="45" s="1"/>
  <c r="E17" i="45"/>
  <c r="G17" i="45" s="1"/>
  <c r="G18" i="45"/>
  <c r="E18" i="45" s="1"/>
  <c r="G19" i="45"/>
  <c r="E19" i="45" s="1"/>
  <c r="G20" i="45"/>
  <c r="E20" i="45" s="1"/>
  <c r="G21" i="45"/>
  <c r="E21" i="45" s="1"/>
  <c r="G22" i="45"/>
  <c r="E22" i="45" s="1"/>
  <c r="E23" i="45"/>
  <c r="G23" i="45" s="1"/>
  <c r="E24" i="55"/>
  <c r="G24" i="55" s="1"/>
  <c r="E23" i="55"/>
  <c r="G23" i="55" s="1"/>
  <c r="G22" i="55"/>
  <c r="E22" i="55" s="1"/>
  <c r="G21" i="55"/>
  <c r="E21" i="55" s="1"/>
  <c r="G20" i="55"/>
  <c r="E20" i="55" s="1"/>
  <c r="G19" i="55"/>
  <c r="E19" i="55" s="1"/>
  <c r="G18" i="55"/>
  <c r="E18" i="55" s="1"/>
  <c r="E17" i="55"/>
  <c r="G17" i="55" s="1"/>
  <c r="E16" i="55"/>
  <c r="F26" i="35" s="1"/>
  <c r="L26" i="35" s="1"/>
  <c r="E15" i="55"/>
  <c r="G15" i="55" s="1"/>
  <c r="E14" i="55"/>
  <c r="G14" i="55" s="1"/>
  <c r="E13" i="55"/>
  <c r="G13" i="55" s="1"/>
  <c r="E12" i="55"/>
  <c r="G12" i="55" s="1"/>
  <c r="E11" i="55"/>
  <c r="G11" i="55" s="1"/>
  <c r="E10" i="55"/>
  <c r="G10" i="55" s="1"/>
  <c r="E9" i="55"/>
  <c r="G9" i="55" s="1"/>
  <c r="E8" i="55"/>
  <c r="G8" i="55" s="1"/>
  <c r="E7" i="55"/>
  <c r="G7" i="55" s="1"/>
  <c r="E6" i="55"/>
  <c r="E5" i="55"/>
  <c r="A7" i="35"/>
  <c r="L29" i="35" l="1"/>
  <c r="N29" i="35"/>
  <c r="J29" i="35"/>
  <c r="R29" i="35"/>
  <c r="J28" i="35"/>
  <c r="N28" i="35"/>
  <c r="P28" i="35"/>
  <c r="R28" i="35"/>
  <c r="G16" i="57"/>
  <c r="F25" i="35"/>
  <c r="G5" i="57"/>
  <c r="D25" i="35"/>
  <c r="G6" i="57"/>
  <c r="H25" i="35"/>
  <c r="N27" i="35"/>
  <c r="G5" i="55"/>
  <c r="D26" i="35"/>
  <c r="N26" i="35" s="1"/>
  <c r="G6" i="55"/>
  <c r="H26" i="35"/>
  <c r="G5" i="45"/>
  <c r="D7" i="35"/>
  <c r="G16" i="55"/>
  <c r="E24" i="53"/>
  <c r="G24" i="53" s="1"/>
  <c r="E23" i="53"/>
  <c r="G23" i="53" s="1"/>
  <c r="G22" i="53"/>
  <c r="E22" i="53" s="1"/>
  <c r="G21" i="53"/>
  <c r="E21" i="53" s="1"/>
  <c r="G20" i="53"/>
  <c r="E20" i="53" s="1"/>
  <c r="G19" i="53"/>
  <c r="E19" i="53" s="1"/>
  <c r="G18" i="53"/>
  <c r="E18" i="53" s="1"/>
  <c r="E17" i="53"/>
  <c r="G17" i="53" s="1"/>
  <c r="E16" i="53"/>
  <c r="E15" i="53"/>
  <c r="G15" i="53" s="1"/>
  <c r="E14" i="53"/>
  <c r="G14" i="53" s="1"/>
  <c r="E13" i="53"/>
  <c r="G13" i="53" s="1"/>
  <c r="E12" i="53"/>
  <c r="G12" i="53" s="1"/>
  <c r="E11" i="53"/>
  <c r="G11" i="53" s="1"/>
  <c r="E10" i="53"/>
  <c r="G10" i="53" s="1"/>
  <c r="E9" i="53"/>
  <c r="G9" i="53" s="1"/>
  <c r="E8" i="53"/>
  <c r="G8" i="53" s="1"/>
  <c r="E7" i="53"/>
  <c r="G7" i="53" s="1"/>
  <c r="E6" i="53"/>
  <c r="E5" i="53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3" i="30"/>
  <c r="J27" i="35" l="1"/>
  <c r="P27" i="35"/>
  <c r="R27" i="35"/>
  <c r="J26" i="35"/>
  <c r="P26" i="35"/>
  <c r="R26" i="35"/>
  <c r="G5" i="53"/>
  <c r="G6" i="53"/>
  <c r="G16" i="53"/>
  <c r="A2" i="47"/>
  <c r="E23" i="37"/>
  <c r="G23" i="37" s="1"/>
  <c r="G22" i="37"/>
  <c r="E22" i="37" s="1"/>
  <c r="G21" i="37"/>
  <c r="E21" i="37" s="1"/>
  <c r="G20" i="37"/>
  <c r="E20" i="37" s="1"/>
  <c r="G19" i="37"/>
  <c r="E19" i="37" s="1"/>
  <c r="G18" i="37"/>
  <c r="E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E6" i="37"/>
  <c r="G6" i="37" s="1"/>
  <c r="E5" i="37"/>
  <c r="G5" i="37" s="1"/>
  <c r="A2" i="63" l="1"/>
  <c r="A2" i="62"/>
  <c r="A2" i="57"/>
  <c r="A2" i="41"/>
  <c r="A2" i="40"/>
  <c r="A2" i="36"/>
  <c r="A2" i="34"/>
  <c r="A2" i="33"/>
  <c r="A2" i="48"/>
  <c r="A2" i="51"/>
  <c r="A2" i="7"/>
  <c r="A2" i="64"/>
  <c r="A30" i="35" s="1"/>
  <c r="A29" i="35"/>
  <c r="A28" i="35"/>
  <c r="A24" i="35"/>
  <c r="A2" i="61"/>
  <c r="A27" i="35" s="1"/>
  <c r="A23" i="35"/>
  <c r="A2" i="55"/>
  <c r="A26" i="35" s="1"/>
  <c r="A2" i="39"/>
  <c r="A22" i="35" s="1"/>
  <c r="A25" i="35"/>
  <c r="A2" i="30"/>
  <c r="A2" i="29"/>
  <c r="A2" i="37"/>
  <c r="A2" i="49"/>
  <c r="A2" i="53"/>
  <c r="A2" i="42"/>
  <c r="A2" i="9"/>
  <c r="A2" i="50"/>
  <c r="E24" i="50"/>
  <c r="G24" i="50" s="1"/>
  <c r="E23" i="50"/>
  <c r="G23" i="50" s="1"/>
  <c r="G22" i="50"/>
  <c r="E22" i="50" s="1"/>
  <c r="G21" i="50"/>
  <c r="E21" i="50" s="1"/>
  <c r="G20" i="50"/>
  <c r="E20" i="50" s="1"/>
  <c r="G19" i="50"/>
  <c r="E19" i="50" s="1"/>
  <c r="G18" i="50"/>
  <c r="E18" i="50" s="1"/>
  <c r="E17" i="50"/>
  <c r="G17" i="50" s="1"/>
  <c r="E16" i="50"/>
  <c r="E15" i="50"/>
  <c r="G15" i="50" s="1"/>
  <c r="E14" i="50"/>
  <c r="G14" i="50" s="1"/>
  <c r="E13" i="50"/>
  <c r="G13" i="50" s="1"/>
  <c r="E12" i="50"/>
  <c r="G12" i="50" s="1"/>
  <c r="E11" i="50"/>
  <c r="G11" i="50" s="1"/>
  <c r="E10" i="50"/>
  <c r="G10" i="50" s="1"/>
  <c r="E9" i="50"/>
  <c r="G9" i="50" s="1"/>
  <c r="E8" i="50"/>
  <c r="G8" i="50" s="1"/>
  <c r="E7" i="50"/>
  <c r="G7" i="50" s="1"/>
  <c r="E6" i="50"/>
  <c r="E5" i="50"/>
  <c r="E24" i="49"/>
  <c r="G24" i="49" s="1"/>
  <c r="E23" i="49"/>
  <c r="G23" i="49" s="1"/>
  <c r="G22" i="49"/>
  <c r="E22" i="49" s="1"/>
  <c r="G21" i="49"/>
  <c r="E21" i="49" s="1"/>
  <c r="G20" i="49"/>
  <c r="E20" i="49" s="1"/>
  <c r="G19" i="49"/>
  <c r="E19" i="49" s="1"/>
  <c r="G18" i="49"/>
  <c r="E18" i="49" s="1"/>
  <c r="E17" i="49"/>
  <c r="G17" i="49" s="1"/>
  <c r="E16" i="49"/>
  <c r="E15" i="49"/>
  <c r="G15" i="49" s="1"/>
  <c r="E14" i="49"/>
  <c r="G14" i="49" s="1"/>
  <c r="E13" i="49"/>
  <c r="G13" i="49" s="1"/>
  <c r="E12" i="49"/>
  <c r="G12" i="49" s="1"/>
  <c r="E11" i="49"/>
  <c r="G11" i="49" s="1"/>
  <c r="E10" i="49"/>
  <c r="G10" i="49" s="1"/>
  <c r="E9" i="49"/>
  <c r="G9" i="49" s="1"/>
  <c r="E8" i="49"/>
  <c r="G8" i="49" s="1"/>
  <c r="E7" i="49"/>
  <c r="G7" i="49" s="1"/>
  <c r="E6" i="49"/>
  <c r="E5" i="49"/>
  <c r="E24" i="42"/>
  <c r="G24" i="42" s="1"/>
  <c r="E23" i="42"/>
  <c r="G23" i="42" s="1"/>
  <c r="G22" i="42"/>
  <c r="E22" i="42" s="1"/>
  <c r="G21" i="42"/>
  <c r="E21" i="42" s="1"/>
  <c r="G20" i="42"/>
  <c r="E20" i="42" s="1"/>
  <c r="G19" i="42"/>
  <c r="E19" i="42" s="1"/>
  <c r="G18" i="42"/>
  <c r="E18" i="42" s="1"/>
  <c r="E17" i="42"/>
  <c r="E16" i="42"/>
  <c r="E15" i="42"/>
  <c r="G15" i="42" s="1"/>
  <c r="E14" i="42"/>
  <c r="G14" i="42" s="1"/>
  <c r="E13" i="42"/>
  <c r="G13" i="42" s="1"/>
  <c r="E12" i="42"/>
  <c r="G12" i="42" s="1"/>
  <c r="E11" i="42"/>
  <c r="G11" i="42" s="1"/>
  <c r="E10" i="42"/>
  <c r="G10" i="42" s="1"/>
  <c r="E9" i="42"/>
  <c r="G9" i="42" s="1"/>
  <c r="E8" i="42"/>
  <c r="G8" i="42" s="1"/>
  <c r="E7" i="42"/>
  <c r="G7" i="42" s="1"/>
  <c r="E6" i="42"/>
  <c r="E5" i="42"/>
  <c r="E24" i="41"/>
  <c r="G24" i="41" s="1"/>
  <c r="E23" i="41"/>
  <c r="G23" i="41" s="1"/>
  <c r="G22" i="41"/>
  <c r="E22" i="41" s="1"/>
  <c r="G21" i="41"/>
  <c r="E21" i="41" s="1"/>
  <c r="G20" i="41"/>
  <c r="E20" i="41" s="1"/>
  <c r="G19" i="41"/>
  <c r="E19" i="41" s="1"/>
  <c r="G18" i="41"/>
  <c r="E18" i="41" s="1"/>
  <c r="E17" i="41"/>
  <c r="E16" i="41"/>
  <c r="E15" i="41"/>
  <c r="G15" i="41" s="1"/>
  <c r="E14" i="41"/>
  <c r="G14" i="41" s="1"/>
  <c r="E13" i="41"/>
  <c r="G13" i="41" s="1"/>
  <c r="E12" i="41"/>
  <c r="G12" i="41" s="1"/>
  <c r="E11" i="41"/>
  <c r="G11" i="41" s="1"/>
  <c r="E10" i="41"/>
  <c r="G10" i="41" s="1"/>
  <c r="E9" i="41"/>
  <c r="G9" i="41" s="1"/>
  <c r="E8" i="41"/>
  <c r="G8" i="41" s="1"/>
  <c r="E7" i="41"/>
  <c r="E6" i="41"/>
  <c r="E5" i="41"/>
  <c r="E24" i="40"/>
  <c r="G24" i="40" s="1"/>
  <c r="E23" i="40"/>
  <c r="G23" i="40" s="1"/>
  <c r="G22" i="40"/>
  <c r="E22" i="40" s="1"/>
  <c r="G21" i="40"/>
  <c r="E21" i="40" s="1"/>
  <c r="G20" i="40"/>
  <c r="E20" i="40" s="1"/>
  <c r="G19" i="40"/>
  <c r="E19" i="40" s="1"/>
  <c r="G18" i="40"/>
  <c r="E18" i="40" s="1"/>
  <c r="E17" i="40"/>
  <c r="G17" i="40" s="1"/>
  <c r="E16" i="40"/>
  <c r="E15" i="40"/>
  <c r="G15" i="40" s="1"/>
  <c r="E14" i="40"/>
  <c r="G14" i="40" s="1"/>
  <c r="E13" i="40"/>
  <c r="G13" i="40" s="1"/>
  <c r="E12" i="40"/>
  <c r="G12" i="40" s="1"/>
  <c r="E11" i="40"/>
  <c r="G11" i="40" s="1"/>
  <c r="E10" i="40"/>
  <c r="G10" i="40" s="1"/>
  <c r="E9" i="40"/>
  <c r="G9" i="40" s="1"/>
  <c r="E8" i="40"/>
  <c r="G8" i="40" s="1"/>
  <c r="E7" i="40"/>
  <c r="G7" i="40" s="1"/>
  <c r="E6" i="40"/>
  <c r="E5" i="40"/>
  <c r="E23" i="39"/>
  <c r="G23" i="39" s="1"/>
  <c r="G22" i="39"/>
  <c r="E22" i="39" s="1"/>
  <c r="G21" i="39"/>
  <c r="E21" i="39" s="1"/>
  <c r="G20" i="39"/>
  <c r="E20" i="39" s="1"/>
  <c r="G19" i="39"/>
  <c r="E19" i="39" s="1"/>
  <c r="G18" i="39"/>
  <c r="E18" i="39" s="1"/>
  <c r="E17" i="39"/>
  <c r="G17" i="39" s="1"/>
  <c r="E16" i="39"/>
  <c r="G16" i="39" s="1"/>
  <c r="E15" i="39"/>
  <c r="G15" i="39" s="1"/>
  <c r="E14" i="39"/>
  <c r="G14" i="39" s="1"/>
  <c r="E13" i="39"/>
  <c r="G13" i="39" s="1"/>
  <c r="E12" i="39"/>
  <c r="G12" i="39" s="1"/>
  <c r="E11" i="39"/>
  <c r="G11" i="39" s="1"/>
  <c r="E10" i="39"/>
  <c r="G10" i="39" s="1"/>
  <c r="E9" i="39"/>
  <c r="G9" i="39" s="1"/>
  <c r="E8" i="39"/>
  <c r="G8" i="39" s="1"/>
  <c r="E7" i="39"/>
  <c r="G7" i="39" s="1"/>
  <c r="E6" i="39"/>
  <c r="G6" i="39" s="1"/>
  <c r="E5" i="39"/>
  <c r="G5" i="39" s="1"/>
  <c r="E23" i="36"/>
  <c r="G23" i="36" s="1"/>
  <c r="G22" i="36"/>
  <c r="E22" i="36" s="1"/>
  <c r="G21" i="36"/>
  <c r="E21" i="36" s="1"/>
  <c r="G20" i="36"/>
  <c r="E20" i="36" s="1"/>
  <c r="G19" i="36"/>
  <c r="E19" i="36" s="1"/>
  <c r="G18" i="36"/>
  <c r="E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E6" i="36"/>
  <c r="G6" i="36" s="1"/>
  <c r="E5" i="36"/>
  <c r="G5" i="36" s="1"/>
  <c r="E23" i="34"/>
  <c r="G23" i="34" s="1"/>
  <c r="G22" i="34"/>
  <c r="E22" i="34" s="1"/>
  <c r="G21" i="34"/>
  <c r="E21" i="34" s="1"/>
  <c r="G20" i="34"/>
  <c r="E20" i="34" s="1"/>
  <c r="G19" i="34"/>
  <c r="E19" i="34" s="1"/>
  <c r="G18" i="34"/>
  <c r="E18" i="34" s="1"/>
  <c r="E17" i="34"/>
  <c r="G17" i="34" s="1"/>
  <c r="E16" i="34"/>
  <c r="G16" i="34" s="1"/>
  <c r="E15" i="34"/>
  <c r="G15" i="34" s="1"/>
  <c r="E14" i="34"/>
  <c r="G14" i="34" s="1"/>
  <c r="E13" i="34"/>
  <c r="G13" i="34" s="1"/>
  <c r="E12" i="34"/>
  <c r="G12" i="34" s="1"/>
  <c r="E11" i="34"/>
  <c r="G11" i="34" s="1"/>
  <c r="E10" i="34"/>
  <c r="G10" i="34" s="1"/>
  <c r="E9" i="34"/>
  <c r="G9" i="34" s="1"/>
  <c r="E8" i="34"/>
  <c r="G8" i="34" s="1"/>
  <c r="E7" i="34"/>
  <c r="G7" i="34" s="1"/>
  <c r="E6" i="34"/>
  <c r="G6" i="34" s="1"/>
  <c r="E5" i="34"/>
  <c r="G5" i="34" s="1"/>
  <c r="E23" i="33"/>
  <c r="G23" i="33" s="1"/>
  <c r="G22" i="33"/>
  <c r="E22" i="33" s="1"/>
  <c r="G21" i="33"/>
  <c r="E21" i="33" s="1"/>
  <c r="G20" i="33"/>
  <c r="E20" i="33" s="1"/>
  <c r="G19" i="33"/>
  <c r="E19" i="33" s="1"/>
  <c r="G18" i="33"/>
  <c r="E18" i="33" s="1"/>
  <c r="E17" i="33"/>
  <c r="G17" i="33" s="1"/>
  <c r="E16" i="33"/>
  <c r="G16" i="33" s="1"/>
  <c r="E15" i="33"/>
  <c r="G15" i="33" s="1"/>
  <c r="E14" i="33"/>
  <c r="G14" i="33" s="1"/>
  <c r="E13" i="33"/>
  <c r="G13" i="33" s="1"/>
  <c r="E12" i="33"/>
  <c r="G12" i="33" s="1"/>
  <c r="E11" i="33"/>
  <c r="G11" i="33" s="1"/>
  <c r="E10" i="33"/>
  <c r="G10" i="33" s="1"/>
  <c r="E9" i="33"/>
  <c r="G9" i="33" s="1"/>
  <c r="E8" i="33"/>
  <c r="G8" i="33" s="1"/>
  <c r="E7" i="33"/>
  <c r="G7" i="33" s="1"/>
  <c r="E6" i="33"/>
  <c r="G6" i="33" s="1"/>
  <c r="E5" i="33"/>
  <c r="G5" i="33" s="1"/>
  <c r="G23" i="30"/>
  <c r="G22" i="30"/>
  <c r="E22" i="30" s="1"/>
  <c r="G21" i="30"/>
  <c r="E21" i="30" s="1"/>
  <c r="G20" i="30"/>
  <c r="E20" i="30" s="1"/>
  <c r="G19" i="30"/>
  <c r="E19" i="30" s="1"/>
  <c r="G18" i="30"/>
  <c r="E18" i="30" s="1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E23" i="29"/>
  <c r="G23" i="29" s="1"/>
  <c r="G22" i="29"/>
  <c r="E22" i="29" s="1"/>
  <c r="G21" i="29"/>
  <c r="E21" i="29" s="1"/>
  <c r="G20" i="29"/>
  <c r="E20" i="29" s="1"/>
  <c r="G19" i="29"/>
  <c r="E19" i="29" s="1"/>
  <c r="G18" i="29"/>
  <c r="E18" i="29" s="1"/>
  <c r="E17" i="29"/>
  <c r="G17" i="29" s="1"/>
  <c r="E16" i="29"/>
  <c r="G16" i="29" s="1"/>
  <c r="E15" i="29"/>
  <c r="G15" i="29" s="1"/>
  <c r="E14" i="29"/>
  <c r="G14" i="29" s="1"/>
  <c r="E13" i="29"/>
  <c r="G13" i="29" s="1"/>
  <c r="E12" i="29"/>
  <c r="G12" i="29" s="1"/>
  <c r="E11" i="29"/>
  <c r="G11" i="29" s="1"/>
  <c r="E10" i="29"/>
  <c r="G10" i="29" s="1"/>
  <c r="E9" i="29"/>
  <c r="G9" i="29" s="1"/>
  <c r="E8" i="29"/>
  <c r="G8" i="29" s="1"/>
  <c r="E7" i="29"/>
  <c r="G7" i="29" s="1"/>
  <c r="E6" i="29"/>
  <c r="G6" i="29" s="1"/>
  <c r="E5" i="29"/>
  <c r="G5" i="29" s="1"/>
  <c r="E23" i="48"/>
  <c r="G23" i="48" s="1"/>
  <c r="G22" i="48"/>
  <c r="E22" i="48" s="1"/>
  <c r="G21" i="48"/>
  <c r="E21" i="48" s="1"/>
  <c r="G20" i="48"/>
  <c r="E20" i="48" s="1"/>
  <c r="G19" i="48"/>
  <c r="E19" i="48" s="1"/>
  <c r="G18" i="48"/>
  <c r="E18" i="48" s="1"/>
  <c r="E17" i="48"/>
  <c r="G17" i="48" s="1"/>
  <c r="E16" i="48"/>
  <c r="G16" i="48" s="1"/>
  <c r="E15" i="48"/>
  <c r="G15" i="48" s="1"/>
  <c r="E14" i="48"/>
  <c r="G14" i="48" s="1"/>
  <c r="E13" i="48"/>
  <c r="G13" i="48" s="1"/>
  <c r="E12" i="48"/>
  <c r="G12" i="48" s="1"/>
  <c r="E11" i="48"/>
  <c r="G11" i="48" s="1"/>
  <c r="E10" i="48"/>
  <c r="G10" i="48" s="1"/>
  <c r="E9" i="48"/>
  <c r="G9" i="48" s="1"/>
  <c r="E8" i="48"/>
  <c r="G8" i="48" s="1"/>
  <c r="E7" i="48"/>
  <c r="G7" i="48" s="1"/>
  <c r="E6" i="48"/>
  <c r="G6" i="48" s="1"/>
  <c r="E5" i="48"/>
  <c r="G5" i="48" s="1"/>
  <c r="E23" i="51"/>
  <c r="G23" i="51" s="1"/>
  <c r="G22" i="51"/>
  <c r="E22" i="51" s="1"/>
  <c r="G21" i="51"/>
  <c r="E21" i="51" s="1"/>
  <c r="G20" i="51"/>
  <c r="E20" i="51" s="1"/>
  <c r="G19" i="51"/>
  <c r="E19" i="51" s="1"/>
  <c r="G18" i="51"/>
  <c r="E18" i="51" s="1"/>
  <c r="E17" i="51"/>
  <c r="G17" i="51" s="1"/>
  <c r="E16" i="51"/>
  <c r="G16" i="51" s="1"/>
  <c r="E15" i="51"/>
  <c r="G15" i="51" s="1"/>
  <c r="E14" i="51"/>
  <c r="G14" i="51" s="1"/>
  <c r="E13" i="51"/>
  <c r="G13" i="51" s="1"/>
  <c r="E12" i="51"/>
  <c r="G12" i="51" s="1"/>
  <c r="E11" i="51"/>
  <c r="G11" i="51" s="1"/>
  <c r="E10" i="51"/>
  <c r="G10" i="51" s="1"/>
  <c r="E9" i="51"/>
  <c r="G9" i="51" s="1"/>
  <c r="E8" i="51"/>
  <c r="G8" i="51" s="1"/>
  <c r="E7" i="51"/>
  <c r="G7" i="51" s="1"/>
  <c r="E6" i="51"/>
  <c r="G6" i="51" s="1"/>
  <c r="E5" i="51"/>
  <c r="G5" i="51" s="1"/>
  <c r="E23" i="7"/>
  <c r="G23" i="7" s="1"/>
  <c r="G22" i="7"/>
  <c r="E22" i="7" s="1"/>
  <c r="G21" i="7"/>
  <c r="E21" i="7" s="1"/>
  <c r="G20" i="7"/>
  <c r="E20" i="7" s="1"/>
  <c r="G19" i="7"/>
  <c r="E19" i="7" s="1"/>
  <c r="G18" i="7"/>
  <c r="E18" i="7" s="1"/>
  <c r="E17" i="7"/>
  <c r="G17" i="7" s="1"/>
  <c r="E16" i="7"/>
  <c r="G16" i="7" s="1"/>
  <c r="E15" i="7"/>
  <c r="G15" i="7" s="1"/>
  <c r="E14" i="7"/>
  <c r="G14" i="7" s="1"/>
  <c r="E13" i="7"/>
  <c r="G13" i="7" s="1"/>
  <c r="E12" i="7"/>
  <c r="G12" i="7" s="1"/>
  <c r="E11" i="7"/>
  <c r="G11" i="7" s="1"/>
  <c r="E10" i="7"/>
  <c r="G10" i="7" s="1"/>
  <c r="E9" i="7"/>
  <c r="G9" i="7" s="1"/>
  <c r="E8" i="7"/>
  <c r="G8" i="7" s="1"/>
  <c r="E7" i="7"/>
  <c r="G7" i="7" s="1"/>
  <c r="E6" i="7"/>
  <c r="G6" i="7" s="1"/>
  <c r="E5" i="7"/>
  <c r="G5" i="7" s="1"/>
  <c r="E23" i="9"/>
  <c r="G23" i="9" s="1"/>
  <c r="G22" i="9"/>
  <c r="E22" i="9" s="1"/>
  <c r="G21" i="9"/>
  <c r="E21" i="9" s="1"/>
  <c r="G20" i="9"/>
  <c r="E20" i="9" s="1"/>
  <c r="G19" i="9"/>
  <c r="E19" i="9" s="1"/>
  <c r="G18" i="9"/>
  <c r="E18" i="9" s="1"/>
  <c r="E17" i="9"/>
  <c r="G17" i="9" s="1"/>
  <c r="E16" i="9"/>
  <c r="G16" i="9" s="1"/>
  <c r="E15" i="9"/>
  <c r="G15" i="9" s="1"/>
  <c r="E14" i="9"/>
  <c r="G14" i="9" s="1"/>
  <c r="E13" i="9"/>
  <c r="G13" i="9" s="1"/>
  <c r="E12" i="9"/>
  <c r="G12" i="9" s="1"/>
  <c r="E11" i="9"/>
  <c r="G11" i="9" s="1"/>
  <c r="E10" i="9"/>
  <c r="G10" i="9" s="1"/>
  <c r="E9" i="9"/>
  <c r="G9" i="9" s="1"/>
  <c r="E8" i="9"/>
  <c r="G8" i="9" s="1"/>
  <c r="E7" i="9"/>
  <c r="G7" i="9" s="1"/>
  <c r="E6" i="9"/>
  <c r="G6" i="9" s="1"/>
  <c r="E5" i="9"/>
  <c r="G5" i="9" s="1"/>
  <c r="E23" i="47"/>
  <c r="G23" i="47" s="1"/>
  <c r="G22" i="47"/>
  <c r="E22" i="47" s="1"/>
  <c r="G21" i="47"/>
  <c r="E21" i="47" s="1"/>
  <c r="G20" i="47"/>
  <c r="E20" i="47" s="1"/>
  <c r="G19" i="47"/>
  <c r="E19" i="47" s="1"/>
  <c r="G18" i="47"/>
  <c r="E18" i="47" s="1"/>
  <c r="E17" i="47"/>
  <c r="G17" i="47" s="1"/>
  <c r="E16" i="47"/>
  <c r="G16" i="47" s="1"/>
  <c r="E15" i="47"/>
  <c r="G15" i="47" s="1"/>
  <c r="E14" i="47"/>
  <c r="G14" i="47" s="1"/>
  <c r="E13" i="47"/>
  <c r="G13" i="47" s="1"/>
  <c r="E12" i="47"/>
  <c r="G12" i="47" s="1"/>
  <c r="E11" i="47"/>
  <c r="G11" i="47" s="1"/>
  <c r="E10" i="47"/>
  <c r="G10" i="47" s="1"/>
  <c r="E9" i="47"/>
  <c r="G9" i="47" s="1"/>
  <c r="E8" i="47"/>
  <c r="G8" i="47" s="1"/>
  <c r="E7" i="47"/>
  <c r="G7" i="47" s="1"/>
  <c r="E6" i="47"/>
  <c r="G6" i="47" s="1"/>
  <c r="E5" i="47"/>
  <c r="G5" i="47" s="1"/>
  <c r="E23" i="46"/>
  <c r="G23" i="46" s="1"/>
  <c r="G22" i="46"/>
  <c r="E22" i="46" s="1"/>
  <c r="G21" i="46"/>
  <c r="E21" i="46" s="1"/>
  <c r="G20" i="46"/>
  <c r="E20" i="46" s="1"/>
  <c r="G19" i="46"/>
  <c r="E19" i="46" s="1"/>
  <c r="G18" i="46"/>
  <c r="E18" i="46" s="1"/>
  <c r="E17" i="46"/>
  <c r="G17" i="46" s="1"/>
  <c r="E16" i="46"/>
  <c r="G16" i="46" s="1"/>
  <c r="E15" i="46"/>
  <c r="G15" i="46" s="1"/>
  <c r="E14" i="46"/>
  <c r="G14" i="46" s="1"/>
  <c r="E13" i="46"/>
  <c r="G13" i="46" s="1"/>
  <c r="E12" i="46"/>
  <c r="G12" i="46" s="1"/>
  <c r="E11" i="46"/>
  <c r="G11" i="46" s="1"/>
  <c r="E10" i="46"/>
  <c r="G10" i="46" s="1"/>
  <c r="E9" i="46"/>
  <c r="G9" i="46" s="1"/>
  <c r="E8" i="46"/>
  <c r="G8" i="46" s="1"/>
  <c r="E7" i="46"/>
  <c r="G7" i="46" s="1"/>
  <c r="E6" i="46"/>
  <c r="G6" i="46" s="1"/>
  <c r="E5" i="46"/>
  <c r="G5" i="46" s="1"/>
  <c r="J25" i="35" l="1"/>
  <c r="G7" i="41"/>
  <c r="R25" i="35"/>
  <c r="G17" i="41"/>
  <c r="G16" i="41"/>
  <c r="F24" i="35"/>
  <c r="G5" i="41"/>
  <c r="D24" i="35"/>
  <c r="G6" i="41"/>
  <c r="H24" i="35"/>
  <c r="G16" i="40"/>
  <c r="F23" i="35"/>
  <c r="G5" i="40"/>
  <c r="D23" i="35"/>
  <c r="J23" i="35" s="1"/>
  <c r="G6" i="40"/>
  <c r="H23" i="35"/>
  <c r="G16" i="49"/>
  <c r="G6" i="49"/>
  <c r="G6" i="42"/>
  <c r="G16" i="42"/>
  <c r="G17" i="42"/>
  <c r="G5" i="50"/>
  <c r="G6" i="50"/>
  <c r="G16" i="50"/>
  <c r="G5" i="49"/>
  <c r="G5" i="42"/>
  <c r="D15" i="35"/>
  <c r="J15" i="35" s="1"/>
  <c r="L25" i="35" l="1"/>
  <c r="N25" i="35"/>
  <c r="P25" i="35"/>
  <c r="D14" i="35"/>
  <c r="J14" i="35" s="1"/>
  <c r="H14" i="35"/>
  <c r="F14" i="35"/>
  <c r="N14" i="35" l="1"/>
  <c r="P14" i="35"/>
  <c r="R14" i="35"/>
  <c r="L14" i="35"/>
  <c r="E24" i="39"/>
  <c r="G24" i="39" s="1"/>
  <c r="D20" i="35" l="1"/>
  <c r="J20" i="35" s="1"/>
  <c r="H15" i="35" l="1"/>
  <c r="F15" i="35"/>
  <c r="L15" i="35" l="1"/>
  <c r="N15" i="35"/>
  <c r="R15" i="35"/>
  <c r="P15" i="35"/>
  <c r="D11" i="35"/>
  <c r="J11" i="35" s="1"/>
  <c r="H11" i="35"/>
  <c r="F11" i="35"/>
  <c r="D10" i="35"/>
  <c r="J10" i="35" s="1"/>
  <c r="H10" i="35"/>
  <c r="F10" i="35"/>
  <c r="N11" i="35" l="1"/>
  <c r="R11" i="35"/>
  <c r="P11" i="35"/>
  <c r="R10" i="35"/>
  <c r="P10" i="35"/>
  <c r="N10" i="35"/>
  <c r="J7" i="35"/>
  <c r="F7" i="35"/>
  <c r="L7" i="35" s="1"/>
  <c r="H7" i="35"/>
  <c r="F17" i="35"/>
  <c r="H17" i="35"/>
  <c r="D17" i="35"/>
  <c r="J17" i="35" s="1"/>
  <c r="H16" i="35"/>
  <c r="H13" i="35"/>
  <c r="D13" i="35"/>
  <c r="J13" i="35" s="1"/>
  <c r="E23" i="5"/>
  <c r="G23" i="5" s="1"/>
  <c r="G22" i="5"/>
  <c r="E22" i="5" s="1"/>
  <c r="G21" i="5"/>
  <c r="E21" i="5" s="1"/>
  <c r="G20" i="5"/>
  <c r="E20" i="5" s="1"/>
  <c r="G19" i="5"/>
  <c r="E19" i="5" s="1"/>
  <c r="G18" i="5"/>
  <c r="E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G9" i="5" s="1"/>
  <c r="E8" i="5"/>
  <c r="G8" i="5" s="1"/>
  <c r="E7" i="5"/>
  <c r="G7" i="5" s="1"/>
  <c r="E6" i="5"/>
  <c r="H9" i="35" s="1"/>
  <c r="E5" i="5"/>
  <c r="G5" i="5" s="1"/>
  <c r="E23" i="2"/>
  <c r="G23" i="2" s="1"/>
  <c r="G22" i="2"/>
  <c r="E22" i="2" s="1"/>
  <c r="G21" i="2"/>
  <c r="E21" i="2" s="1"/>
  <c r="G20" i="2"/>
  <c r="E20" i="2" s="1"/>
  <c r="G19" i="2"/>
  <c r="E19" i="2" s="1"/>
  <c r="G18" i="2"/>
  <c r="E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H8" i="35" s="1"/>
  <c r="E5" i="2"/>
  <c r="N7" i="35" l="1"/>
  <c r="R13" i="35"/>
  <c r="R7" i="35"/>
  <c r="P7" i="35"/>
  <c r="F16" i="35"/>
  <c r="D16" i="35"/>
  <c r="J16" i="35" s="1"/>
  <c r="F13" i="35"/>
  <c r="G5" i="2"/>
  <c r="D8" i="35"/>
  <c r="J8" i="35" s="1"/>
  <c r="G6" i="5"/>
  <c r="G6" i="2"/>
  <c r="J24" i="35"/>
  <c r="F22" i="35"/>
  <c r="H22" i="35"/>
  <c r="D22" i="35"/>
  <c r="J22" i="35" s="1"/>
  <c r="R8" i="35" l="1"/>
  <c r="P17" i="35"/>
  <c r="R17" i="35"/>
  <c r="P16" i="35"/>
  <c r="R16" i="35"/>
  <c r="L13" i="35"/>
  <c r="N13" i="35"/>
  <c r="L17" i="35"/>
  <c r="N17" i="35"/>
  <c r="L16" i="35"/>
  <c r="N16" i="35"/>
  <c r="P13" i="35"/>
  <c r="R24" i="35"/>
  <c r="P24" i="35"/>
  <c r="L24" i="35"/>
  <c r="N24" i="35"/>
  <c r="L23" i="35"/>
  <c r="F21" i="35"/>
  <c r="H21" i="35"/>
  <c r="D21" i="35"/>
  <c r="J21" i="35" s="1"/>
  <c r="H20" i="35"/>
  <c r="R20" i="35" s="1"/>
  <c r="P23" i="35" l="1"/>
  <c r="R23" i="35"/>
  <c r="N23" i="35"/>
  <c r="L21" i="35"/>
  <c r="F20" i="35"/>
  <c r="J38" i="35"/>
  <c r="J39" i="35"/>
  <c r="J40" i="35"/>
  <c r="J41" i="35"/>
  <c r="J42" i="35"/>
  <c r="F9" i="35"/>
  <c r="D9" i="35"/>
  <c r="J9" i="35" s="1"/>
  <c r="F8" i="35"/>
  <c r="J35" i="35"/>
  <c r="L38" i="35"/>
  <c r="L39" i="35"/>
  <c r="L40" i="35"/>
  <c r="L41" i="35"/>
  <c r="L42" i="35"/>
  <c r="H19" i="35"/>
  <c r="D19" i="35"/>
  <c r="J19" i="35" s="1"/>
  <c r="P21" i="35" l="1"/>
  <c r="R21" i="35"/>
  <c r="N8" i="35"/>
  <c r="P8" i="35"/>
  <c r="R9" i="35"/>
  <c r="P9" i="35"/>
  <c r="N9" i="35"/>
  <c r="L22" i="35"/>
  <c r="N22" i="35"/>
  <c r="L20" i="35"/>
  <c r="N20" i="35"/>
  <c r="P20" i="35"/>
  <c r="R22" i="35"/>
  <c r="P22" i="35"/>
  <c r="N21" i="35"/>
  <c r="F19" i="35"/>
  <c r="L8" i="35"/>
  <c r="L10" i="35"/>
  <c r="L9" i="35"/>
  <c r="L11" i="35"/>
  <c r="F18" i="35"/>
  <c r="H18" i="35"/>
  <c r="D18" i="35"/>
  <c r="J18" i="35" s="1"/>
  <c r="L18" i="35" l="1"/>
  <c r="N18" i="35"/>
  <c r="P19" i="35"/>
  <c r="R19" i="35"/>
  <c r="P18" i="35"/>
  <c r="R18" i="35"/>
  <c r="L19" i="35"/>
  <c r="N19" i="35"/>
  <c r="A9" i="35" l="1"/>
  <c r="A8" i="35"/>
  <c r="A10" i="35" l="1"/>
  <c r="A18" i="35" l="1"/>
  <c r="A14" i="35"/>
  <c r="A16" i="35"/>
  <c r="A17" i="35"/>
  <c r="A13" i="35"/>
  <c r="A21" i="35"/>
  <c r="A20" i="35"/>
  <c r="A11" i="35"/>
  <c r="A15" i="35"/>
  <c r="A19" i="3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<sst xmlns="http://schemas.openxmlformats.org/spreadsheetml/2006/main" count="799" uniqueCount="67">
  <si>
    <t>BANK OF GHANA DAILY INTERBANK FX RATES</t>
  </si>
  <si>
    <t>Details</t>
  </si>
  <si>
    <t>Direct Quote (HCY to FCY)</t>
  </si>
  <si>
    <t>Indirect Quote (FCY to HCY)</t>
  </si>
  <si>
    <t>GHS/USD</t>
  </si>
  <si>
    <t>GHS/EUR</t>
  </si>
  <si>
    <t>GHS/GBP</t>
  </si>
  <si>
    <t>USD/GHS</t>
  </si>
  <si>
    <t>EUR/GHS</t>
  </si>
  <si>
    <t>USD/EUR</t>
  </si>
  <si>
    <t>EUR/USD</t>
  </si>
  <si>
    <t>GBP/USD</t>
  </si>
  <si>
    <t>Date</t>
  </si>
  <si>
    <t>Pairs Code</t>
  </si>
  <si>
    <t>Average</t>
  </si>
  <si>
    <t>GHS:USD_EUR_GBP</t>
  </si>
  <si>
    <t>Prepared by:</t>
  </si>
  <si>
    <t>Reviewed by:</t>
  </si>
  <si>
    <t>Accountant……………………………………………………….</t>
  </si>
  <si>
    <t>Finance Supervisor…………………………………………………</t>
  </si>
  <si>
    <t>USD-GHS</t>
  </si>
  <si>
    <t>GHS-USD</t>
  </si>
  <si>
    <t>Currency</t>
  </si>
  <si>
    <t>Buying</t>
  </si>
  <si>
    <t>Selling</t>
  </si>
  <si>
    <t>00-01-1900</t>
  </si>
  <si>
    <t>.</t>
  </si>
  <si>
    <t>US Dollar</t>
  </si>
  <si>
    <t>Pound Sterling</t>
  </si>
  <si>
    <t>Swiss Franc</t>
  </si>
  <si>
    <t>Australian Dollar</t>
  </si>
  <si>
    <t>Canadian Dollar</t>
  </si>
  <si>
    <t>Danish Krone</t>
  </si>
  <si>
    <t>Japanese yen</t>
  </si>
  <si>
    <t>New Zealand Dollar</t>
  </si>
  <si>
    <t>Norwegian Krone</t>
  </si>
  <si>
    <t>Swedish Krona</t>
  </si>
  <si>
    <t>South African Rand</t>
  </si>
  <si>
    <t>Euro</t>
  </si>
  <si>
    <t>Yuan Renminbi</t>
  </si>
  <si>
    <t>BCEAO</t>
  </si>
  <si>
    <t>Dalasi</t>
  </si>
  <si>
    <t>Ouguiya</t>
  </si>
  <si>
    <t>Naira</t>
  </si>
  <si>
    <t>Leone</t>
  </si>
  <si>
    <t>Ecowas</t>
  </si>
  <si>
    <t>**</t>
  </si>
  <si>
    <t>USDGHS</t>
  </si>
  <si>
    <t>GBPGHS</t>
  </si>
  <si>
    <t>CHFGHS</t>
  </si>
  <si>
    <t>AUDGHS</t>
  </si>
  <si>
    <t>CADGHS</t>
  </si>
  <si>
    <t>DKKGHS</t>
  </si>
  <si>
    <t>JPYGHS</t>
  </si>
  <si>
    <t>NZDGHS</t>
  </si>
  <si>
    <t>NOKGHS</t>
  </si>
  <si>
    <t>SEKGHS</t>
  </si>
  <si>
    <t>ZARGHS</t>
  </si>
  <si>
    <t>EURGHS</t>
  </si>
  <si>
    <t>CNYGHS</t>
  </si>
  <si>
    <t>GHSXOF</t>
  </si>
  <si>
    <t>GHSGMD</t>
  </si>
  <si>
    <t>GHSMRO</t>
  </si>
  <si>
    <t>GHSNGN</t>
  </si>
  <si>
    <t>GHSSLL</t>
  </si>
  <si>
    <t>WAUGHS</t>
  </si>
  <si>
    <t>For the month of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</si>
</sst>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00_);_(* \(#,##0.0000\);_(* &quot;-&quot;??_);_(@_)"/>
    <numFmt numFmtId="166" formatCode="[$-2C09]dddd\,\ dd\ mmmm\ yyyy;@"/>
    <numFmt numFmtId="167" formatCode="_(* #,##0.000000_);_(* \(#,##0.00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6062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5F7FA"/>
      </left>
      <right/>
      <top style="medium">
        <color rgb="FFF5F7FA"/>
      </top>
      <bottom style="medium">
        <color rgb="FFF5F7FA"/>
      </bottom>
      <diagonal/>
    </border>
    <border>
      <left/>
      <right/>
      <top style="medium">
        <color rgb="FFF5F7FA"/>
      </top>
      <bottom style="medium">
        <color rgb="FFF5F7FA"/>
      </bottom>
      <diagonal/>
    </border>
    <border>
      <left/>
      <right style="medium">
        <color rgb="FFF5F7FA"/>
      </right>
      <top style="medium">
        <color rgb="FFF5F7FA"/>
      </top>
      <bottom style="medium">
        <color rgb="FFF5F7FA"/>
      </bottom>
      <diagonal/>
    </border>
    <border>
      <left style="medium">
        <color rgb="FFF5F7FA"/>
      </left>
      <right/>
      <top style="medium">
        <color rgb="FFF5F7FA"/>
      </top>
      <bottom style="medium">
        <color rgb="FFEBEEF5"/>
      </bottom>
      <diagonal/>
    </border>
    <border>
      <left/>
      <right/>
      <top style="medium">
        <color rgb="FFF5F7FA"/>
      </top>
      <bottom style="medium">
        <color rgb="FFEBEEF5"/>
      </bottom>
      <diagonal/>
    </border>
    <border>
      <left/>
      <right style="medium">
        <color rgb="FFF5F7FA"/>
      </right>
      <top style="medium">
        <color rgb="FFF5F7FA"/>
      </top>
      <bottom style="medium">
        <color rgb="FFEBEEF5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164" fontId="0" fillId="0" borderId="0" xfId="1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164" fontId="3" fillId="3" borderId="0" xfId="1" applyFont="1" applyFill="1" applyAlignment="1">
      <alignment horizontal="right"/>
    </xf>
    <xf numFmtId="166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164" fontId="3" fillId="0" borderId="0" xfId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0" fillId="0" borderId="0" xfId="0" applyProtection="1">
      <protection locked="0"/>
    </xf>
    <xf numFmtId="165" fontId="5" fillId="4" borderId="0" xfId="1" applyNumberFormat="1" applyFont="1" applyFill="1" applyAlignment="1" applyProtection="1">
      <alignment horizontal="right"/>
    </xf>
    <xf numFmtId="165" fontId="5" fillId="4" borderId="0" xfId="1" applyNumberFormat="1" applyFont="1" applyFill="1" applyBorder="1" applyAlignment="1" applyProtection="1">
      <alignment horizontal="right"/>
    </xf>
    <xf numFmtId="165" fontId="3" fillId="2" borderId="0" xfId="1" applyNumberFormat="1" applyFont="1" applyFill="1" applyAlignment="1" applyProtection="1">
      <alignment horizontal="right"/>
    </xf>
    <xf numFmtId="165" fontId="7" fillId="7" borderId="0" xfId="1" applyNumberFormat="1" applyFont="1" applyFill="1" applyBorder="1" applyAlignment="1" applyProtection="1">
      <alignment horizontal="right"/>
    </xf>
    <xf numFmtId="165" fontId="3" fillId="2" borderId="1" xfId="1" applyNumberFormat="1" applyFont="1" applyFill="1" applyBorder="1" applyAlignment="1" applyProtection="1">
      <alignment horizontal="right"/>
    </xf>
    <xf numFmtId="165" fontId="3" fillId="5" borderId="1" xfId="0" applyNumberFormat="1" applyFont="1" applyFill="1" applyBorder="1"/>
    <xf numFmtId="165" fontId="3" fillId="2" borderId="2" xfId="1" applyNumberFormat="1" applyFont="1" applyFill="1" applyBorder="1" applyAlignment="1" applyProtection="1">
      <alignment horizontal="right"/>
    </xf>
    <xf numFmtId="165" fontId="3" fillId="5" borderId="2" xfId="0" applyNumberFormat="1" applyFont="1" applyFill="1" applyBorder="1"/>
    <xf numFmtId="165" fontId="3" fillId="2" borderId="3" xfId="1" applyNumberFormat="1" applyFont="1" applyFill="1" applyBorder="1" applyAlignment="1" applyProtection="1">
      <alignment horizontal="right"/>
    </xf>
    <xf numFmtId="165" fontId="3" fillId="5" borderId="3" xfId="0" applyNumberFormat="1" applyFont="1" applyFill="1" applyBorder="1"/>
    <xf numFmtId="0" fontId="4" fillId="0" borderId="0" xfId="0" applyFont="1" applyProtection="1">
      <protection locked="0"/>
    </xf>
    <xf numFmtId="164" fontId="0" fillId="0" borderId="0" xfId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6" fontId="2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164" fontId="3" fillId="0" borderId="0" xfId="1" applyFont="1" applyAlignment="1" applyProtection="1">
      <alignment horizontal="right"/>
      <protection locked="0"/>
    </xf>
    <xf numFmtId="0" fontId="3" fillId="3" borderId="0" xfId="0" applyFont="1" applyFill="1" applyProtection="1">
      <protection locked="0"/>
    </xf>
    <xf numFmtId="164" fontId="3" fillId="3" borderId="0" xfId="1" applyFont="1" applyFill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165" fontId="7" fillId="0" borderId="0" xfId="1" applyNumberFormat="1" applyFont="1" applyFill="1" applyBorder="1" applyAlignment="1" applyProtection="1">
      <alignment horizontal="right"/>
    </xf>
    <xf numFmtId="0" fontId="0" fillId="0" borderId="0" xfId="0" applyAlignment="1" applyProtection="1">
      <alignment vertical="center" wrapText="1"/>
      <protection locked="0"/>
    </xf>
    <xf numFmtId="15" fontId="0" fillId="0" borderId="0" xfId="0" applyNumberFormat="1" applyAlignment="1" applyProtection="1">
      <alignment horizontal="left" vertical="center" wrapText="1"/>
      <protection locked="0"/>
    </xf>
    <xf numFmtId="165" fontId="7" fillId="0" borderId="0" xfId="1" applyNumberFormat="1" applyFont="1" applyFill="1" applyAlignment="1" applyProtection="1">
      <alignment horizontal="right"/>
    </xf>
    <xf numFmtId="165" fontId="3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6" fontId="6" fillId="0" borderId="0" xfId="0" applyNumberFormat="1" applyFont="1" applyAlignment="1" applyProtection="1">
      <alignment horizontal="left"/>
      <protection locked="0"/>
    </xf>
    <xf numFmtId="165" fontId="3" fillId="0" borderId="0" xfId="1" applyNumberFormat="1" applyFont="1" applyFill="1" applyProtection="1">
      <protection locked="0"/>
    </xf>
    <xf numFmtId="167" fontId="7" fillId="8" borderId="0" xfId="1" applyNumberFormat="1" applyFont="1" applyFill="1" applyBorder="1" applyAlignment="1" applyProtection="1">
      <alignment horizontal="right"/>
    </xf>
    <xf numFmtId="167" fontId="7" fillId="0" borderId="0" xfId="1" applyNumberFormat="1" applyFont="1" applyFill="1" applyBorder="1" applyAlignment="1" applyProtection="1">
      <alignment horizontal="right"/>
      <protection locked="0"/>
    </xf>
    <xf numFmtId="167" fontId="8" fillId="0" borderId="0" xfId="0" applyNumberFormat="1" applyFont="1"/>
    <xf numFmtId="167" fontId="7" fillId="0" borderId="0" xfId="1" applyNumberFormat="1" applyFont="1" applyFill="1" applyAlignment="1" applyProtection="1">
      <alignment horizontal="right"/>
    </xf>
    <xf numFmtId="167" fontId="3" fillId="0" borderId="0" xfId="1" applyNumberFormat="1" applyFont="1" applyFill="1" applyBorder="1" applyAlignment="1" applyProtection="1">
      <alignment horizontal="right"/>
      <protection locked="0"/>
    </xf>
    <xf numFmtId="167" fontId="0" fillId="0" borderId="0" xfId="0" applyNumberFormat="1"/>
    <xf numFmtId="167" fontId="3" fillId="0" borderId="0" xfId="1" applyNumberFormat="1" applyFont="1" applyProtection="1">
      <protection locked="0"/>
    </xf>
    <xf numFmtId="167" fontId="0" fillId="0" borderId="0" xfId="0" applyNumberFormat="1" applyProtection="1">
      <protection locked="0"/>
    </xf>
    <xf numFmtId="167" fontId="3" fillId="0" borderId="0" xfId="1" applyNumberFormat="1" applyFont="1" applyFill="1" applyProtection="1">
      <protection locked="0"/>
    </xf>
    <xf numFmtId="164" fontId="3" fillId="0" borderId="0" xfId="1" applyFont="1" applyFill="1" applyAlignment="1" applyProtection="1">
      <alignment horizontal="right"/>
      <protection locked="0"/>
    </xf>
    <xf numFmtId="167" fontId="7" fillId="0" borderId="0" xfId="1" applyNumberFormat="1" applyFont="1" applyFill="1" applyBorder="1" applyAlignment="1" applyProtection="1">
      <alignment horizontal="right"/>
    </xf>
    <xf numFmtId="167" fontId="3" fillId="0" borderId="0" xfId="0" applyNumberFormat="1" applyFont="1" applyProtection="1">
      <protection locked="0"/>
    </xf>
    <xf numFmtId="15" fontId="0" fillId="0" borderId="0" xfId="0" applyNumberFormat="1"/>
    <xf numFmtId="4" fontId="0" fillId="0" borderId="0" xfId="0" applyNumberFormat="1"/>
    <xf numFmtId="15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166" fontId="6" fillId="6" borderId="0" xfId="0" applyNumberFormat="1" applyFont="1" applyFill="1" applyAlignment="1">
      <alignment horizontal="left"/>
    </xf>
    <xf numFmtId="166" fontId="9" fillId="0" borderId="0" xfId="0" applyNumberFormat="1" applyFont="1"/>
    <xf numFmtId="4" fontId="0" fillId="0" borderId="0" xfId="0" applyNumberFormat="1" applyAlignment="1">
      <alignment vertical="center" wrapText="1"/>
    </xf>
    <xf numFmtId="15" fontId="11" fillId="9" borderId="4" xfId="0" applyNumberFormat="1" applyFont="1" applyFill="1" applyBorder="1" applyAlignment="1">
      <alignment horizontal="left" vertical="center" indent="2"/>
    </xf>
    <xf numFmtId="0" fontId="11" fillId="9" borderId="5" xfId="0" applyFont="1" applyFill="1" applyBorder="1" applyAlignment="1">
      <alignment horizontal="left" vertical="center" indent="2"/>
    </xf>
    <xf numFmtId="0" fontId="11" fillId="9" borderId="6" xfId="0" applyFont="1" applyFill="1" applyBorder="1" applyAlignment="1">
      <alignment horizontal="left" vertical="center" indent="2"/>
    </xf>
    <xf numFmtId="15" fontId="11" fillId="9" borderId="7" xfId="0" applyNumberFormat="1" applyFont="1" applyFill="1" applyBorder="1" applyAlignment="1">
      <alignment horizontal="left" vertical="center" indent="2"/>
    </xf>
    <xf numFmtId="0" fontId="11" fillId="9" borderId="8" xfId="0" applyFont="1" applyFill="1" applyBorder="1" applyAlignment="1">
      <alignment horizontal="left" vertical="center" indent="2"/>
    </xf>
    <xf numFmtId="0" fontId="11" fillId="9" borderId="9" xfId="0" applyFont="1" applyFill="1" applyBorder="1" applyAlignment="1">
      <alignment horizontal="left" vertical="center" indent="2"/>
    </xf>
    <xf numFmtId="166" fontId="6" fillId="6" borderId="0" xfId="0" applyNumberFormat="1" applyFont="1" applyFill="1" applyAlignment="1" applyProtection="1">
      <alignment horizontal="left"/>
      <protection locked="0"/>
    </xf>
    <xf numFmtId="164" fontId="3" fillId="8" borderId="0" xfId="1" applyFont="1" applyFill="1" applyAlignment="1" applyProtection="1">
      <alignment horizont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87FE05-F06D-474A-9228-430528242532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9B3D246-0558-4A71-AD7A-F6038D145F4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33928af-51f1-4a18-b462-c250585df8d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zoomScaleNormal="100" workbookViewId="0">
      <selection activeCell="B3" sqref="B3"/>
    </sheetView>
  </sheetViews>
  <sheetFormatPr defaultColWidth="9.1796875" defaultRowHeight="14.5" x14ac:dyDescent="0.35"/>
  <cols>
    <col min="1" max="1" width="11.1796875" style="14" customWidth="1"/>
    <col min="2" max="2" width="18.453125" style="14" customWidth="1"/>
    <col min="3" max="3" width="1.7265625" style="14" customWidth="1"/>
    <col min="4" max="4" width="13" style="26" customWidth="1"/>
    <col min="5" max="5" width="1.453125" style="14" customWidth="1"/>
    <col min="6" max="6" width="11.26953125" style="14" bestFit="1" customWidth="1"/>
    <col min="7" max="7" width="1.26953125" style="14" customWidth="1"/>
    <col min="8" max="8" width="12" style="14" customWidth="1"/>
    <col min="9" max="9" width="1.26953125" style="14" customWidth="1"/>
    <col min="10" max="10" width="11" style="14" bestFit="1" customWidth="1"/>
    <col min="11" max="11" width="1.54296875" style="14" customWidth="1"/>
    <col min="12" max="12" width="11" style="14" bestFit="1" customWidth="1"/>
    <col min="13" max="13" width="1.453125" style="14" customWidth="1"/>
    <col min="14" max="14" width="11.1796875" style="14" customWidth="1"/>
    <col min="15" max="15" width="1" style="14" customWidth="1"/>
    <col min="16" max="16" width="11" style="14" bestFit="1" customWidth="1"/>
    <col min="17" max="17" width="1.7265625" style="14" customWidth="1"/>
    <col min="18" max="18" width="9.1796875" style="14" customWidth="1"/>
    <col min="19" max="19" width="9.1796875" style="14"/>
    <col min="20" max="20" width="11" style="14" bestFit="1" customWidth="1"/>
    <col min="21" max="21" width="9.54296875" style="14" bestFit="1" customWidth="1"/>
    <col min="22" max="22" width="9.1796875" style="14"/>
    <col min="23" max="23" width="9.7265625" style="14" bestFit="1" customWidth="1"/>
    <col min="24" max="16384" width="9.1796875" style="14"/>
  </cols>
  <sheetData>
    <row r="1" spans="1:26" ht="18.5" x14ac:dyDescent="0.45">
      <c r="A1" s="25" t="s">
        <v>0</v>
      </c>
    </row>
    <row r="2" spans="1:26" ht="18" customHeight="1" x14ac:dyDescent="0.35">
      <c r="A2" s="68" t="s">
        <v>66</v>
      </c>
      <c r="B2" s="68"/>
      <c r="C2" s="68"/>
      <c r="D2" s="27">
        <v>50</v>
      </c>
    </row>
    <row r="3" spans="1:26" x14ac:dyDescent="0.35">
      <c r="A3" s="41" t="s">
        <v>26</v>
      </c>
      <c r="B3" s="41"/>
      <c r="C3" s="41"/>
      <c r="D3" s="31"/>
      <c r="F3" s="31"/>
      <c r="N3" s="31"/>
      <c r="O3" s="31"/>
    </row>
    <row r="4" spans="1:26" x14ac:dyDescent="0.35">
      <c r="A4" s="70" t="s">
        <v>1</v>
      </c>
      <c r="B4" s="70"/>
      <c r="C4" s="41"/>
      <c r="D4" s="69" t="s">
        <v>2</v>
      </c>
      <c r="E4" s="69"/>
      <c r="F4" s="69"/>
      <c r="G4" s="69"/>
      <c r="H4" s="69"/>
      <c r="J4" s="69" t="s">
        <v>3</v>
      </c>
      <c r="K4" s="69"/>
      <c r="L4" s="69"/>
      <c r="M4" s="69"/>
      <c r="N4" s="69"/>
      <c r="O4" s="69"/>
      <c r="P4" s="69"/>
      <c r="Q4" s="69"/>
      <c r="R4" s="69"/>
    </row>
    <row r="5" spans="1:26" x14ac:dyDescent="0.35">
      <c r="A5" s="28"/>
      <c r="B5" s="28"/>
      <c r="C5" s="28"/>
      <c r="D5" s="29" t="s">
        <v>4</v>
      </c>
      <c r="E5" s="30"/>
      <c r="F5" s="31" t="s">
        <v>5</v>
      </c>
      <c r="G5" s="29"/>
      <c r="H5" s="31" t="s">
        <v>6</v>
      </c>
      <c r="I5" s="29"/>
      <c r="J5" s="29" t="s">
        <v>7</v>
      </c>
      <c r="L5" s="29" t="s">
        <v>8</v>
      </c>
      <c r="N5" s="31" t="s">
        <v>9</v>
      </c>
      <c r="O5" s="31"/>
      <c r="P5" s="30" t="s">
        <v>10</v>
      </c>
      <c r="R5" s="30" t="s">
        <v>11</v>
      </c>
      <c r="W5" s="57"/>
      <c r="Z5" s="57"/>
    </row>
    <row r="6" spans="1:26" x14ac:dyDescent="0.35">
      <c r="A6" s="32" t="s">
        <v>12</v>
      </c>
      <c r="B6" s="32" t="s">
        <v>13</v>
      </c>
      <c r="C6" s="30"/>
      <c r="D6" s="33" t="s">
        <v>14</v>
      </c>
      <c r="F6" s="33" t="s">
        <v>14</v>
      </c>
      <c r="G6" s="52"/>
      <c r="H6" s="33"/>
      <c r="I6" s="52"/>
      <c r="J6" s="33" t="s">
        <v>14</v>
      </c>
      <c r="L6" s="33" t="s">
        <v>14</v>
      </c>
      <c r="N6" s="33" t="s">
        <v>14</v>
      </c>
      <c r="O6" s="52"/>
      <c r="P6" s="33" t="s">
        <v>14</v>
      </c>
      <c r="R6" s="33" t="s">
        <v>14</v>
      </c>
      <c r="W6" s="57"/>
      <c r="Z6" s="57"/>
    </row>
    <row r="7" spans="1:26" x14ac:dyDescent="0.35">
      <c r="A7" s="37">
        <f>+'01-07'!A2:B2</f>
        <v>46204</v>
      </c>
      <c r="B7" s="36" t="s">
        <v>15</v>
      </c>
      <c r="C7" s="36"/>
      <c r="D7" s="44">
        <f>+'01-07'!E5</f>
        <v>11.350000000000001</v>
      </c>
      <c r="E7" s="45"/>
      <c r="F7" s="46">
        <f>+'01-07'!E16</f>
        <v>12.922499999999999</v>
      </c>
      <c r="G7" s="46"/>
      <c r="H7" s="46">
        <f>+'01-07'!E6</f>
        <v>15.08245</v>
      </c>
      <c r="I7" s="38"/>
      <c r="J7" s="43">
        <f>IF(D7=0," ",1/D7)</f>
        <v>8.8105726872246687E-2</v>
      </c>
      <c r="L7" s="53">
        <f>IF(F7=0," ",1/F7)</f>
        <v>7.7384407041981046E-2</v>
      </c>
      <c r="M7" s="50"/>
      <c r="N7" s="53">
        <f>IF(F7=0," ",D7/F7)</f>
        <v>0.87831301992648492</v>
      </c>
      <c r="O7" s="35"/>
      <c r="P7" s="53">
        <f>IF(D7=0," ",F7/D7)</f>
        <v>1.1385462555066077</v>
      </c>
      <c r="R7" s="30">
        <f>IF(D7=0," ",H7/D7)</f>
        <v>1.3288502202643171</v>
      </c>
      <c r="W7" s="57"/>
      <c r="Z7" s="57"/>
    </row>
    <row r="8" spans="1:26" x14ac:dyDescent="0.35">
      <c r="A8" s="37">
        <f>+'02-07'!A2:B2</f>
        <v>46205</v>
      </c>
      <c r="B8" s="36" t="s">
        <v>15</v>
      </c>
      <c r="C8" s="36"/>
      <c r="D8" s="47">
        <f>+'02-07'!E5</f>
        <v>11.389500000000002</v>
      </c>
      <c r="E8" s="48"/>
      <c r="F8" s="49">
        <f>+'02-07'!E16</f>
        <v>13.02825</v>
      </c>
      <c r="G8" s="49"/>
      <c r="H8" s="49">
        <f>+'02-07'!E6</f>
        <v>15.212399999999999</v>
      </c>
      <c r="I8" s="39"/>
      <c r="J8" s="43">
        <f t="shared" ref="J8:J25" si="0">IF(D8=0," ",1/D8)</f>
        <v>8.7800166820316938E-2</v>
      </c>
      <c r="L8" s="53">
        <f>IF(F8=0," ",1/F8)</f>
        <v>7.6756279623126672E-2</v>
      </c>
      <c r="M8" s="50"/>
      <c r="N8" s="53">
        <f t="shared" ref="N8:N26" si="1">IF(F8=0," ",D8/F8)</f>
        <v>0.87421564676760133</v>
      </c>
      <c r="O8" s="35"/>
      <c r="P8" s="53">
        <f>IF(D8=0," ",F8/D8)</f>
        <v>1.1438825233767942</v>
      </c>
      <c r="R8" s="30">
        <f t="shared" ref="R8:R26" si="2">IF(D8=0," ",H8/D8)</f>
        <v>1.3356512577373894</v>
      </c>
      <c r="W8" s="57"/>
      <c r="Z8" s="57"/>
    </row>
    <row r="9" spans="1:26" x14ac:dyDescent="0.35">
      <c r="A9" s="37">
        <f>+'03-06'!A2:B2</f>
        <v>46206</v>
      </c>
      <c r="B9" s="36" t="s">
        <v>15</v>
      </c>
      <c r="C9" s="36"/>
      <c r="D9" s="47">
        <f>+'03-06'!E5</f>
        <v>0</v>
      </c>
      <c r="E9" s="48"/>
      <c r="F9" s="49">
        <f>+'03-06'!E16</f>
        <v>0</v>
      </c>
      <c r="G9" s="49"/>
      <c r="H9" s="49">
        <f>+'03-06'!E6</f>
        <v>0</v>
      </c>
      <c r="I9" s="39"/>
      <c r="J9" s="43" t="str">
        <f t="shared" si="0"/>
        <v xml:space="preserve"> </v>
      </c>
      <c r="L9" s="53" t="str">
        <f t="shared" ref="L9:L42" si="3">IF(F9=0," ",1/F9)</f>
        <v xml:space="preserve"> </v>
      </c>
      <c r="M9" s="50"/>
      <c r="N9" s="53" t="str">
        <f t="shared" si="1"/>
        <v xml:space="preserve"> </v>
      </c>
      <c r="O9" s="35"/>
      <c r="P9" s="53" t="str">
        <f t="shared" ref="P9:P26" si="4">IF(D9=0," ",F9/D9)</f>
        <v xml:space="preserve"> </v>
      </c>
      <c r="R9" s="30" t="str">
        <f t="shared" si="2"/>
        <v xml:space="preserve"> </v>
      </c>
      <c r="W9" s="57"/>
      <c r="Z9" s="57"/>
    </row>
    <row r="10" spans="1:26" x14ac:dyDescent="0.35">
      <c r="A10" s="37">
        <f>+'06-07'!A2:B2</f>
        <v>46209</v>
      </c>
      <c r="B10" s="36" t="s">
        <v>15</v>
      </c>
      <c r="C10" s="36"/>
      <c r="D10" s="47">
        <f>+'06-07'!E5</f>
        <v>11.39</v>
      </c>
      <c r="E10" s="48"/>
      <c r="F10" s="49">
        <f>+'06-07'!E16</f>
        <v>13.01595</v>
      </c>
      <c r="G10" s="49"/>
      <c r="H10" s="49">
        <f>+'06-07'!E6</f>
        <v>15.226700000000001</v>
      </c>
      <c r="I10" s="39"/>
      <c r="J10" s="43">
        <f t="shared" si="0"/>
        <v>8.7796312554872691E-2</v>
      </c>
      <c r="L10" s="53">
        <f t="shared" si="3"/>
        <v>7.6828813878356939E-2</v>
      </c>
      <c r="M10" s="50"/>
      <c r="N10" s="53">
        <f t="shared" si="1"/>
        <v>0.87508019007448556</v>
      </c>
      <c r="O10" s="35"/>
      <c r="P10" s="53">
        <f t="shared" si="4"/>
        <v>1.1427524143985952</v>
      </c>
      <c r="R10" s="30">
        <f t="shared" si="2"/>
        <v>1.3368481123792801</v>
      </c>
      <c r="W10" s="57"/>
      <c r="Z10" s="57"/>
    </row>
    <row r="11" spans="1:26" x14ac:dyDescent="0.35">
      <c r="A11" s="37">
        <f>+'07-07'!A2:B2</f>
        <v>46210</v>
      </c>
      <c r="B11" s="36" t="s">
        <v>15</v>
      </c>
      <c r="C11" s="36"/>
      <c r="D11" s="47">
        <f>+'07-07'!E5</f>
        <v>11.427</v>
      </c>
      <c r="E11" s="48"/>
      <c r="F11" s="49">
        <f>+'07-07'!E16</f>
        <v>13.0518</v>
      </c>
      <c r="G11" s="49"/>
      <c r="H11" s="49">
        <f>+'07-07'!E6</f>
        <v>15.278500000000001</v>
      </c>
      <c r="I11" s="39"/>
      <c r="J11" s="43">
        <f t="shared" si="0"/>
        <v>8.7512032904524376E-2</v>
      </c>
      <c r="L11" s="53">
        <f t="shared" si="3"/>
        <v>7.6617784520142812E-2</v>
      </c>
      <c r="M11" s="50"/>
      <c r="N11" s="53">
        <f t="shared" si="1"/>
        <v>0.8755114237116719</v>
      </c>
      <c r="O11" s="35"/>
      <c r="P11" s="53">
        <f t="shared" si="4"/>
        <v>1.1421895510632711</v>
      </c>
      <c r="R11" s="30">
        <f t="shared" si="2"/>
        <v>1.3370525947317757</v>
      </c>
      <c r="W11" s="57"/>
      <c r="Z11" s="57"/>
    </row>
    <row r="12" spans="1:26" hidden="1" x14ac:dyDescent="0.35">
      <c r="A12" s="37"/>
      <c r="B12" s="36"/>
      <c r="C12" s="36"/>
      <c r="D12" s="47"/>
      <c r="E12" s="48"/>
      <c r="F12" s="49"/>
      <c r="G12" s="49"/>
      <c r="H12" s="49"/>
      <c r="I12" s="39"/>
      <c r="J12" s="43"/>
      <c r="L12" s="53"/>
      <c r="M12" s="50"/>
      <c r="N12" s="53"/>
      <c r="O12" s="35"/>
      <c r="P12" s="53"/>
      <c r="R12" s="30"/>
      <c r="W12" s="57"/>
      <c r="Z12" s="57"/>
    </row>
    <row r="13" spans="1:26" x14ac:dyDescent="0.35">
      <c r="A13" s="37">
        <f>+'08-07'!A2:B2</f>
        <v>46211</v>
      </c>
      <c r="B13" s="36" t="s">
        <v>15</v>
      </c>
      <c r="C13" s="36"/>
      <c r="D13" s="47">
        <f>+'08-07'!E5</f>
        <v>11.440000000000001</v>
      </c>
      <c r="E13" s="48"/>
      <c r="F13" s="49">
        <f>+'08-07'!E16</f>
        <v>13.0398</v>
      </c>
      <c r="G13" s="49"/>
      <c r="H13" s="49">
        <f>+'08-07'!E6</f>
        <v>15.287849999999999</v>
      </c>
      <c r="I13" s="39">
        <v>0</v>
      </c>
      <c r="J13" s="43">
        <f t="shared" si="0"/>
        <v>8.7412587412587409E-2</v>
      </c>
      <c r="L13" s="53">
        <f t="shared" si="3"/>
        <v>7.6688292765226457E-2</v>
      </c>
      <c r="M13" s="50"/>
      <c r="N13" s="53">
        <f t="shared" si="1"/>
        <v>0.87731406923419086</v>
      </c>
      <c r="O13" s="35"/>
      <c r="P13" s="53">
        <f t="shared" si="4"/>
        <v>1.1398426573426572</v>
      </c>
      <c r="R13" s="30">
        <f t="shared" si="2"/>
        <v>1.3363505244755243</v>
      </c>
      <c r="W13" s="57"/>
      <c r="Z13" s="57"/>
    </row>
    <row r="14" spans="1:26" x14ac:dyDescent="0.35">
      <c r="A14" s="37">
        <f>+'09-07'!A2:B2</f>
        <v>46212</v>
      </c>
      <c r="B14" s="36" t="s">
        <v>15</v>
      </c>
      <c r="C14" s="36"/>
      <c r="D14" s="47">
        <f>+'09-07'!E5</f>
        <v>11.4635</v>
      </c>
      <c r="E14" s="48"/>
      <c r="F14" s="49">
        <f>+'09-07'!E16</f>
        <v>13.100149999999999</v>
      </c>
      <c r="G14" s="49"/>
      <c r="H14" s="49">
        <f>+'09-07'!E6</f>
        <v>15.378299999999999</v>
      </c>
      <c r="I14" s="39"/>
      <c r="J14" s="43">
        <f t="shared" si="0"/>
        <v>8.7233392942818511E-2</v>
      </c>
      <c r="L14" s="53">
        <f t="shared" si="3"/>
        <v>7.6335003797666445E-2</v>
      </c>
      <c r="M14" s="50"/>
      <c r="N14" s="53">
        <f t="shared" si="1"/>
        <v>0.87506631603454921</v>
      </c>
      <c r="O14" s="35"/>
      <c r="P14" s="53">
        <f t="shared" si="4"/>
        <v>1.1427705325598638</v>
      </c>
      <c r="R14" s="30">
        <f t="shared" si="2"/>
        <v>1.341501286692546</v>
      </c>
      <c r="W14" s="57"/>
      <c r="Z14" s="57"/>
    </row>
    <row r="15" spans="1:26" x14ac:dyDescent="0.35">
      <c r="A15" s="37">
        <f>+'10-07'!A2:B2</f>
        <v>46213</v>
      </c>
      <c r="B15" s="36" t="s">
        <v>15</v>
      </c>
      <c r="C15" s="36"/>
      <c r="D15" s="44">
        <f>+'10-07'!E5</f>
        <v>11.48</v>
      </c>
      <c r="E15" s="48"/>
      <c r="F15" s="49">
        <f>+'10-07'!E16</f>
        <v>13.131799999999998</v>
      </c>
      <c r="G15" s="49"/>
      <c r="H15" s="49">
        <f>+'10-07'!E6</f>
        <v>15.4056</v>
      </c>
      <c r="I15" s="39"/>
      <c r="J15" s="43">
        <f t="shared" si="0"/>
        <v>8.7108013937282222E-2</v>
      </c>
      <c r="L15" s="53">
        <f t="shared" si="3"/>
        <v>7.6151022708234983E-2</v>
      </c>
      <c r="M15" s="50"/>
      <c r="N15" s="53">
        <f t="shared" si="1"/>
        <v>0.87421374069053759</v>
      </c>
      <c r="O15" s="35"/>
      <c r="P15" s="53">
        <f t="shared" si="4"/>
        <v>1.1438850174216026</v>
      </c>
      <c r="R15" s="30">
        <f t="shared" si="2"/>
        <v>1.341951219512195</v>
      </c>
      <c r="W15" s="57"/>
      <c r="Z15" s="57"/>
    </row>
    <row r="16" spans="1:26" x14ac:dyDescent="0.35">
      <c r="A16" s="37">
        <f>+'13-07'!A2:B2</f>
        <v>46216</v>
      </c>
      <c r="B16" s="36" t="s">
        <v>15</v>
      </c>
      <c r="C16" s="36"/>
      <c r="D16" s="47">
        <f>+'13-07'!E5</f>
        <v>11.489999999999998</v>
      </c>
      <c r="E16" s="48"/>
      <c r="F16" s="49">
        <f>+'13-07'!E16</f>
        <v>13.082699999999999</v>
      </c>
      <c r="G16" s="49"/>
      <c r="H16" s="49">
        <f>+'13-07'!E6</f>
        <v>15.35125</v>
      </c>
      <c r="I16" s="39"/>
      <c r="J16" s="43">
        <f t="shared" si="0"/>
        <v>8.7032201914708451E-2</v>
      </c>
      <c r="L16" s="53">
        <f t="shared" si="3"/>
        <v>7.6436821145482212E-2</v>
      </c>
      <c r="M16" s="50"/>
      <c r="N16" s="53">
        <f t="shared" si="1"/>
        <v>0.87825907496159039</v>
      </c>
      <c r="O16" s="35"/>
      <c r="P16" s="53">
        <f t="shared" si="4"/>
        <v>1.1386161879895562</v>
      </c>
      <c r="R16" s="30">
        <f t="shared" si="2"/>
        <v>1.3360530896431682</v>
      </c>
      <c r="W16" s="57"/>
      <c r="Z16" s="57"/>
    </row>
    <row r="17" spans="1:26" x14ac:dyDescent="0.35">
      <c r="A17" s="37">
        <f>+'14-07'!A2:B2</f>
        <v>46217</v>
      </c>
      <c r="B17" s="36" t="s">
        <v>15</v>
      </c>
      <c r="C17" s="36"/>
      <c r="D17" s="47">
        <f>+'14-07'!E5</f>
        <v>11.516</v>
      </c>
      <c r="E17" s="48"/>
      <c r="F17" s="49">
        <f>+'14-07'!E16</f>
        <v>13.163349999999999</v>
      </c>
      <c r="G17" s="49"/>
      <c r="H17" s="49">
        <f>+'14-07'!E6</f>
        <v>15.413</v>
      </c>
      <c r="I17" s="39"/>
      <c r="J17" s="43">
        <f t="shared" si="0"/>
        <v>8.6835706842653695E-2</v>
      </c>
      <c r="L17" s="53">
        <f t="shared" si="3"/>
        <v>7.5968503458466119E-2</v>
      </c>
      <c r="M17" s="50"/>
      <c r="N17" s="53">
        <f t="shared" si="1"/>
        <v>0.87485328582769584</v>
      </c>
      <c r="O17" s="35"/>
      <c r="P17" s="53">
        <f t="shared" si="4"/>
        <v>1.1430488016672455</v>
      </c>
      <c r="R17" s="30">
        <f t="shared" si="2"/>
        <v>1.3383987495658214</v>
      </c>
      <c r="W17" s="57"/>
      <c r="Z17" s="57"/>
    </row>
    <row r="18" spans="1:26" x14ac:dyDescent="0.35">
      <c r="A18" s="37">
        <f>+'15-07'!A2:B2</f>
        <v>46218</v>
      </c>
      <c r="B18" s="36" t="s">
        <v>15</v>
      </c>
      <c r="C18" s="36"/>
      <c r="D18" s="47">
        <f>+'15-07'!E5</f>
        <v>11.524999999999999</v>
      </c>
      <c r="E18" s="48"/>
      <c r="F18" s="49">
        <f>+'15-07'!E16</f>
        <v>13.18235</v>
      </c>
      <c r="G18" s="49"/>
      <c r="H18" s="49">
        <f>+'15-07'!E6</f>
        <v>15.583550000000001</v>
      </c>
      <c r="I18" s="39"/>
      <c r="J18" s="43">
        <f t="shared" si="0"/>
        <v>8.6767895878524959E-2</v>
      </c>
      <c r="L18" s="53">
        <f t="shared" si="3"/>
        <v>7.5859008446900592E-2</v>
      </c>
      <c r="M18" s="50"/>
      <c r="N18" s="53">
        <f t="shared" si="1"/>
        <v>0.87427507235052926</v>
      </c>
      <c r="O18" s="35"/>
      <c r="P18" s="53">
        <f t="shared" si="4"/>
        <v>1.1438047722342735</v>
      </c>
      <c r="R18" s="30">
        <f t="shared" si="2"/>
        <v>1.3521518438177877</v>
      </c>
      <c r="W18" s="57"/>
      <c r="Z18" s="57"/>
    </row>
    <row r="19" spans="1:26" x14ac:dyDescent="0.35">
      <c r="A19" s="37">
        <f>+'16-07'!A2:B2</f>
        <v>46219</v>
      </c>
      <c r="B19" s="36" t="s">
        <v>15</v>
      </c>
      <c r="C19" s="36"/>
      <c r="D19" s="47">
        <f>+'16-07'!E5</f>
        <v>0</v>
      </c>
      <c r="E19" s="48"/>
      <c r="F19" s="49">
        <f>+'16-07'!E16</f>
        <v>0</v>
      </c>
      <c r="G19" s="49"/>
      <c r="H19" s="49">
        <f>+'16-07'!E6</f>
        <v>0</v>
      </c>
      <c r="I19" s="39"/>
      <c r="J19" s="43" t="str">
        <f t="shared" si="0"/>
        <v xml:space="preserve"> </v>
      </c>
      <c r="L19" s="53" t="str">
        <f t="shared" si="3"/>
        <v xml:space="preserve"> </v>
      </c>
      <c r="M19" s="50"/>
      <c r="N19" s="53" t="str">
        <f t="shared" si="1"/>
        <v xml:space="preserve"> </v>
      </c>
      <c r="O19" s="35"/>
      <c r="P19" s="53" t="str">
        <f t="shared" si="4"/>
        <v xml:space="preserve"> </v>
      </c>
      <c r="R19" s="30" t="str">
        <f t="shared" si="2"/>
        <v xml:space="preserve"> </v>
      </c>
      <c r="W19" s="57"/>
      <c r="Z19" s="57"/>
    </row>
    <row r="20" spans="1:26" x14ac:dyDescent="0.35">
      <c r="A20" s="37">
        <f>+'17-07'!A2:B2</f>
        <v>46220</v>
      </c>
      <c r="B20" s="36" t="s">
        <v>15</v>
      </c>
      <c r="C20" s="36"/>
      <c r="D20" s="47">
        <f>+'17-07'!E5</f>
        <v>0</v>
      </c>
      <c r="E20" s="48"/>
      <c r="F20" s="49">
        <f>+'17-07'!E16</f>
        <v>0</v>
      </c>
      <c r="G20" s="49"/>
      <c r="H20" s="49">
        <f>+'17-07'!E6</f>
        <v>0</v>
      </c>
      <c r="I20" s="39"/>
      <c r="J20" s="43" t="str">
        <f t="shared" si="0"/>
        <v xml:space="preserve"> </v>
      </c>
      <c r="L20" s="53" t="str">
        <f t="shared" si="3"/>
        <v xml:space="preserve"> </v>
      </c>
      <c r="M20" s="50"/>
      <c r="N20" s="53" t="str">
        <f t="shared" si="1"/>
        <v xml:space="preserve"> </v>
      </c>
      <c r="O20" s="35"/>
      <c r="P20" s="53" t="str">
        <f t="shared" si="4"/>
        <v xml:space="preserve"> </v>
      </c>
      <c r="R20" s="30" t="str">
        <f t="shared" si="2"/>
        <v xml:space="preserve"> </v>
      </c>
      <c r="W20" s="57"/>
      <c r="Z20" s="57"/>
    </row>
    <row r="21" spans="1:26" x14ac:dyDescent="0.35">
      <c r="A21" s="37">
        <f>+'20-07'!A2:B2</f>
        <v>46223</v>
      </c>
      <c r="B21" s="36" t="s">
        <v>15</v>
      </c>
      <c r="C21" s="36"/>
      <c r="D21" s="47">
        <f>+'20-07'!E5</f>
        <v>0</v>
      </c>
      <c r="E21" s="48"/>
      <c r="F21" s="49">
        <f>+'20-07'!E16</f>
        <v>0</v>
      </c>
      <c r="G21" s="49"/>
      <c r="H21" s="49">
        <f>+'20-07'!E6</f>
        <v>0</v>
      </c>
      <c r="I21" s="39"/>
      <c r="J21" s="43" t="str">
        <f t="shared" si="0"/>
        <v xml:space="preserve"> </v>
      </c>
      <c r="L21" s="53" t="str">
        <f t="shared" si="3"/>
        <v xml:space="preserve"> </v>
      </c>
      <c r="M21" s="50"/>
      <c r="N21" s="53" t="str">
        <f t="shared" si="1"/>
        <v xml:space="preserve"> </v>
      </c>
      <c r="O21" s="35"/>
      <c r="P21" s="53" t="str">
        <f t="shared" si="4"/>
        <v xml:space="preserve"> </v>
      </c>
      <c r="R21" s="30" t="str">
        <f t="shared" si="2"/>
        <v xml:space="preserve"> </v>
      </c>
      <c r="W21" s="57"/>
      <c r="Z21" s="57"/>
    </row>
    <row r="22" spans="1:26" x14ac:dyDescent="0.35">
      <c r="A22" s="37">
        <f>+'21-07'!A2:B2</f>
        <v>46224</v>
      </c>
      <c r="B22" s="36" t="s">
        <v>15</v>
      </c>
      <c r="C22" s="36"/>
      <c r="D22" s="47">
        <f>+'21-07'!E5</f>
        <v>0</v>
      </c>
      <c r="E22" s="48"/>
      <c r="F22" s="49">
        <f>+'21-07'!E16</f>
        <v>0</v>
      </c>
      <c r="G22" s="49"/>
      <c r="H22" s="49">
        <f>+'21-07'!E6</f>
        <v>0</v>
      </c>
      <c r="I22" s="39"/>
      <c r="J22" s="43" t="str">
        <f t="shared" si="0"/>
        <v xml:space="preserve"> </v>
      </c>
      <c r="L22" s="53" t="str">
        <f t="shared" si="3"/>
        <v xml:space="preserve"> </v>
      </c>
      <c r="M22" s="50"/>
      <c r="N22" s="53" t="str">
        <f t="shared" si="1"/>
        <v xml:space="preserve"> </v>
      </c>
      <c r="O22" s="35"/>
      <c r="P22" s="53" t="str">
        <f t="shared" si="4"/>
        <v xml:space="preserve"> </v>
      </c>
      <c r="R22" s="30" t="str">
        <f t="shared" si="2"/>
        <v xml:space="preserve"> </v>
      </c>
      <c r="W22" s="57"/>
      <c r="Z22" s="57"/>
    </row>
    <row r="23" spans="1:26" x14ac:dyDescent="0.35">
      <c r="A23" s="37">
        <f>+'22-06'!A2:B2</f>
        <v>46225</v>
      </c>
      <c r="B23" s="36" t="s">
        <v>15</v>
      </c>
      <c r="C23" s="36"/>
      <c r="D23" s="47">
        <f>+'22-06'!E5</f>
        <v>0</v>
      </c>
      <c r="E23" s="50"/>
      <c r="F23" s="49">
        <f>+'22-06'!E16</f>
        <v>0</v>
      </c>
      <c r="G23" s="51"/>
      <c r="H23" s="49">
        <f>+'22-06'!E6</f>
        <v>0</v>
      </c>
      <c r="I23" s="42"/>
      <c r="J23" s="43" t="str">
        <f t="shared" si="0"/>
        <v xml:space="preserve"> </v>
      </c>
      <c r="L23" s="53" t="str">
        <f t="shared" si="3"/>
        <v xml:space="preserve"> </v>
      </c>
      <c r="M23" s="50"/>
      <c r="N23" s="53" t="str">
        <f t="shared" si="1"/>
        <v xml:space="preserve"> </v>
      </c>
      <c r="O23" s="35"/>
      <c r="P23" s="53" t="str">
        <f t="shared" si="4"/>
        <v xml:space="preserve"> </v>
      </c>
      <c r="R23" s="30" t="str">
        <f t="shared" si="2"/>
        <v xml:space="preserve"> </v>
      </c>
      <c r="W23" s="57"/>
      <c r="Z23" s="57"/>
    </row>
    <row r="24" spans="1:26" x14ac:dyDescent="0.35">
      <c r="A24" s="37">
        <f>+'23-07'!A2:B2</f>
        <v>46226</v>
      </c>
      <c r="B24" s="36" t="s">
        <v>15</v>
      </c>
      <c r="C24" s="36"/>
      <c r="D24" s="47">
        <f>+'23-07'!E5</f>
        <v>0</v>
      </c>
      <c r="E24" s="50"/>
      <c r="F24" s="51">
        <f>+'23-07'!E16</f>
        <v>0</v>
      </c>
      <c r="G24" s="51"/>
      <c r="H24" s="51">
        <f>+'23-07'!E6</f>
        <v>0</v>
      </c>
      <c r="I24" s="42"/>
      <c r="J24" s="43" t="str">
        <f t="shared" si="0"/>
        <v xml:space="preserve"> </v>
      </c>
      <c r="L24" s="53" t="str">
        <f t="shared" si="3"/>
        <v xml:space="preserve"> </v>
      </c>
      <c r="M24" s="50"/>
      <c r="N24" s="53" t="str">
        <f t="shared" si="1"/>
        <v xml:space="preserve"> </v>
      </c>
      <c r="O24" s="35"/>
      <c r="P24" s="53" t="str">
        <f t="shared" si="4"/>
        <v xml:space="preserve"> </v>
      </c>
      <c r="R24" s="30" t="str">
        <f t="shared" si="2"/>
        <v xml:space="preserve"> </v>
      </c>
      <c r="W24" s="57"/>
    </row>
    <row r="25" spans="1:26" x14ac:dyDescent="0.35">
      <c r="A25" s="37">
        <f>'24-07'!A2</f>
        <v>46227</v>
      </c>
      <c r="B25" s="36" t="s">
        <v>15</v>
      </c>
      <c r="C25" s="36"/>
      <c r="D25" s="47">
        <f>+'24-07'!E5</f>
        <v>0</v>
      </c>
      <c r="E25" s="50"/>
      <c r="F25" s="51">
        <f>+'24-07'!E16</f>
        <v>0</v>
      </c>
      <c r="G25" s="51"/>
      <c r="H25" s="51">
        <f>+'24-07'!E6</f>
        <v>0</v>
      </c>
      <c r="I25" s="42"/>
      <c r="J25" s="43" t="str">
        <f t="shared" si="0"/>
        <v xml:space="preserve"> </v>
      </c>
      <c r="L25" s="53" t="str">
        <f t="shared" si="3"/>
        <v xml:space="preserve"> </v>
      </c>
      <c r="M25" s="50"/>
      <c r="N25" s="53" t="str">
        <f t="shared" si="1"/>
        <v xml:space="preserve"> </v>
      </c>
      <c r="O25" s="35"/>
      <c r="P25" s="53" t="str">
        <f t="shared" si="4"/>
        <v xml:space="preserve"> </v>
      </c>
      <c r="R25" s="30" t="str">
        <f t="shared" si="2"/>
        <v xml:space="preserve"> </v>
      </c>
      <c r="W25" s="57"/>
    </row>
    <row r="26" spans="1:26" ht="14.25" customHeight="1" x14ac:dyDescent="0.35">
      <c r="A26" s="37">
        <f>'27-07'!A2</f>
        <v>46230</v>
      </c>
      <c r="B26" s="36" t="s">
        <v>15</v>
      </c>
      <c r="D26" s="47">
        <f>'27-07'!E5</f>
        <v>0</v>
      </c>
      <c r="F26" s="51">
        <f>'27-07'!E16</f>
        <v>0</v>
      </c>
      <c r="G26" s="39"/>
      <c r="H26" s="51">
        <f>'27-07'!E6</f>
        <v>0</v>
      </c>
      <c r="I26" s="39"/>
      <c r="J26" s="43" t="str">
        <f>IF(D26=0," ",1/D26)</f>
        <v xml:space="preserve"> </v>
      </c>
      <c r="L26" s="53" t="str">
        <f t="shared" si="3"/>
        <v xml:space="preserve"> </v>
      </c>
      <c r="M26" s="50"/>
      <c r="N26" s="53" t="str">
        <f t="shared" si="1"/>
        <v xml:space="preserve"> </v>
      </c>
      <c r="P26" s="53" t="str">
        <f t="shared" si="4"/>
        <v xml:space="preserve"> </v>
      </c>
      <c r="R26" s="30" t="str">
        <f t="shared" si="2"/>
        <v xml:space="preserve"> </v>
      </c>
    </row>
    <row r="27" spans="1:26" ht="14.25" customHeight="1" x14ac:dyDescent="0.35">
      <c r="A27" s="37">
        <f>'28-07'!A2</f>
        <v>46231</v>
      </c>
      <c r="B27" s="36" t="s">
        <v>15</v>
      </c>
      <c r="D27" s="47">
        <f>'28-07'!E5</f>
        <v>0</v>
      </c>
      <c r="F27" s="51">
        <f>'28-07'!E16</f>
        <v>0</v>
      </c>
      <c r="G27" s="39"/>
      <c r="H27" s="51">
        <f>'28-07'!E6</f>
        <v>0</v>
      </c>
      <c r="I27" s="39"/>
      <c r="J27" s="43" t="str">
        <f t="shared" ref="J27:J29" si="5">IF(D27=0," ",1/D27)</f>
        <v xml:space="preserve"> </v>
      </c>
      <c r="L27" s="53" t="str">
        <f t="shared" ref="L27:L29" si="6">IF(F27=0," ",1/F27)</f>
        <v xml:space="preserve"> </v>
      </c>
      <c r="M27" s="50"/>
      <c r="N27" s="53" t="str">
        <f t="shared" ref="N27:N29" si="7">IF(F27=0," ",D27/F27)</f>
        <v xml:space="preserve"> </v>
      </c>
      <c r="P27" s="53" t="str">
        <f t="shared" ref="P27:P29" si="8">IF(D27=0," ",F27/D27)</f>
        <v xml:space="preserve"> </v>
      </c>
      <c r="R27" s="30" t="str">
        <f t="shared" ref="R27:R29" si="9">IF(D27=0," ",H27/D27)</f>
        <v xml:space="preserve"> </v>
      </c>
    </row>
    <row r="28" spans="1:26" ht="14.25" customHeight="1" x14ac:dyDescent="0.35">
      <c r="A28" s="37">
        <f>'29-07 '!A2</f>
        <v>46232</v>
      </c>
      <c r="B28" s="36" t="s">
        <v>15</v>
      </c>
      <c r="D28" s="47">
        <f>'29-07 '!E5</f>
        <v>0</v>
      </c>
      <c r="F28" s="51">
        <f>'29-07 '!E16</f>
        <v>0</v>
      </c>
      <c r="G28" s="39"/>
      <c r="H28" s="51">
        <f>'29-07 '!E6</f>
        <v>0</v>
      </c>
      <c r="I28" s="39"/>
      <c r="J28" s="43" t="str">
        <f t="shared" si="5"/>
        <v xml:space="preserve"> </v>
      </c>
      <c r="L28" s="53" t="str">
        <f t="shared" si="6"/>
        <v xml:space="preserve"> </v>
      </c>
      <c r="M28" s="50"/>
      <c r="N28" s="53" t="str">
        <f t="shared" si="7"/>
        <v xml:space="preserve"> </v>
      </c>
      <c r="P28" s="53" t="str">
        <f t="shared" si="8"/>
        <v xml:space="preserve"> </v>
      </c>
      <c r="R28" s="30" t="str">
        <f t="shared" si="9"/>
        <v xml:space="preserve"> </v>
      </c>
    </row>
    <row r="29" spans="1:26" ht="15" customHeight="1" x14ac:dyDescent="0.35">
      <c r="A29" s="37">
        <f>'30-07'!A2</f>
        <v>46233</v>
      </c>
      <c r="B29" s="36" t="s">
        <v>15</v>
      </c>
      <c r="D29" s="47">
        <f>'30-07'!E5</f>
        <v>0</v>
      </c>
      <c r="F29" s="51">
        <f>'30-07'!E16</f>
        <v>0</v>
      </c>
      <c r="G29" s="39"/>
      <c r="H29" s="51">
        <f>'30-07'!E6</f>
        <v>0</v>
      </c>
      <c r="I29" s="39"/>
      <c r="J29" s="43" t="str">
        <f t="shared" si="5"/>
        <v xml:space="preserve"> </v>
      </c>
      <c r="L29" s="53" t="str">
        <f t="shared" si="6"/>
        <v xml:space="preserve"> </v>
      </c>
      <c r="M29" s="50"/>
      <c r="N29" s="53" t="str">
        <f t="shared" si="7"/>
        <v xml:space="preserve"> </v>
      </c>
      <c r="P29" s="53" t="str">
        <f t="shared" si="8"/>
        <v xml:space="preserve"> </v>
      </c>
      <c r="R29" s="30" t="str">
        <f t="shared" si="9"/>
        <v xml:space="preserve"> </v>
      </c>
    </row>
    <row r="30" spans="1:26" ht="15" customHeight="1" x14ac:dyDescent="0.35">
      <c r="A30" s="37">
        <f>'31-07'!A2</f>
        <v>46234</v>
      </c>
      <c r="B30" s="36" t="s">
        <v>15</v>
      </c>
      <c r="D30" s="47" cm="1">
        <f t="array" ref="D30">_xlfn.ANCHORARRAY('31-07'!E5)</f>
        <v>0</v>
      </c>
      <c r="F30" s="51"/>
      <c r="G30" s="39"/>
      <c r="H30" s="51"/>
      <c r="I30" s="39"/>
      <c r="J30" s="43"/>
      <c r="L30" s="53"/>
      <c r="M30" s="50"/>
      <c r="N30" s="53"/>
      <c r="P30" s="53"/>
      <c r="R30" s="30"/>
    </row>
    <row r="31" spans="1:26" x14ac:dyDescent="0.35">
      <c r="A31" s="37"/>
      <c r="B31" s="36"/>
      <c r="D31" s="47"/>
      <c r="F31" s="51"/>
      <c r="G31" s="39"/>
      <c r="H31" s="51"/>
      <c r="I31" s="39"/>
      <c r="J31" s="43"/>
      <c r="L31" s="53"/>
      <c r="M31" s="50"/>
      <c r="N31" s="53"/>
      <c r="P31" s="53"/>
    </row>
    <row r="32" spans="1:26" x14ac:dyDescent="0.35">
      <c r="F32" s="39"/>
      <c r="G32" s="39"/>
      <c r="H32" s="39"/>
      <c r="I32" s="39"/>
      <c r="J32" s="54"/>
      <c r="L32" s="35"/>
    </row>
    <row r="33" spans="1:12" x14ac:dyDescent="0.35">
      <c r="F33" s="40"/>
      <c r="G33" s="40"/>
      <c r="H33" s="40"/>
      <c r="I33" s="40"/>
      <c r="J33" s="35"/>
      <c r="L33" s="35"/>
    </row>
    <row r="34" spans="1:12" x14ac:dyDescent="0.35">
      <c r="F34" s="40"/>
      <c r="G34" s="40"/>
      <c r="H34" s="40"/>
      <c r="I34" s="40"/>
      <c r="J34" s="35"/>
      <c r="L34" s="35"/>
    </row>
    <row r="35" spans="1:12" x14ac:dyDescent="0.35">
      <c r="F35" s="40"/>
      <c r="G35" s="40"/>
      <c r="H35" s="40"/>
      <c r="I35" s="40"/>
      <c r="J35" s="35" t="str">
        <f t="shared" ref="J35:J42" si="10">IF(D35=0," ",1/D35)</f>
        <v xml:space="preserve"> </v>
      </c>
      <c r="L35" s="35"/>
    </row>
    <row r="36" spans="1:12" x14ac:dyDescent="0.35">
      <c r="A36" s="14" t="s">
        <v>16</v>
      </c>
      <c r="F36" s="40"/>
      <c r="G36" s="40"/>
      <c r="H36" s="14" t="s">
        <v>17</v>
      </c>
      <c r="I36" s="40"/>
      <c r="L36" s="35"/>
    </row>
    <row r="37" spans="1:12" x14ac:dyDescent="0.35">
      <c r="A37" s="14" t="s">
        <v>18</v>
      </c>
      <c r="F37" s="40"/>
      <c r="G37" s="40"/>
      <c r="H37" s="14" t="s">
        <v>19</v>
      </c>
      <c r="I37" s="40"/>
    </row>
    <row r="38" spans="1:12" x14ac:dyDescent="0.35">
      <c r="F38" s="40"/>
      <c r="G38" s="40"/>
      <c r="I38" s="40"/>
      <c r="J38" s="35" t="str">
        <f t="shared" si="10"/>
        <v xml:space="preserve"> </v>
      </c>
      <c r="L38" s="35" t="str">
        <f t="shared" si="3"/>
        <v xml:space="preserve"> </v>
      </c>
    </row>
    <row r="39" spans="1:12" x14ac:dyDescent="0.35">
      <c r="F39" s="40"/>
      <c r="G39" s="40"/>
      <c r="H39" s="40"/>
      <c r="I39" s="40"/>
      <c r="J39" s="35" t="str">
        <f t="shared" si="10"/>
        <v xml:space="preserve"> </v>
      </c>
      <c r="L39" s="35" t="str">
        <f t="shared" si="3"/>
        <v xml:space="preserve"> </v>
      </c>
    </row>
    <row r="40" spans="1:12" x14ac:dyDescent="0.35">
      <c r="J40" s="35" t="str">
        <f t="shared" si="10"/>
        <v xml:space="preserve"> </v>
      </c>
      <c r="L40" s="35" t="str">
        <f t="shared" si="3"/>
        <v xml:space="preserve"> </v>
      </c>
    </row>
    <row r="41" spans="1:12" x14ac:dyDescent="0.35">
      <c r="J41" s="35" t="str">
        <f t="shared" si="10"/>
        <v xml:space="preserve"> </v>
      </c>
      <c r="L41" s="35" t="str">
        <f t="shared" si="3"/>
        <v xml:space="preserve"> </v>
      </c>
    </row>
    <row r="42" spans="1:12" x14ac:dyDescent="0.35">
      <c r="J42" s="35" t="str">
        <f t="shared" si="10"/>
        <v xml:space="preserve"> </v>
      </c>
      <c r="L42" s="35" t="str">
        <f t="shared" si="3"/>
        <v xml:space="preserve"> </v>
      </c>
    </row>
  </sheetData>
  <mergeCells count="4">
    <mergeCell ref="A2:C2"/>
    <mergeCell ref="D4:H4"/>
    <mergeCell ref="A4:B4"/>
    <mergeCell ref="J4:R4"/>
  </mergeCells>
  <pageMargins left="0.5" right="0.45" top="1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B2" sqref="B2"/>
    </sheetView>
  </sheetViews>
  <sheetFormatPr defaultRowHeight="14.5" x14ac:dyDescent="0.35"/>
  <cols>
    <col min="1" max="1" width="27.1796875" bestFit="1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5" customWidth="1"/>
    <col min="7" max="7" width="11.54296875" bestFit="1" customWidth="1"/>
  </cols>
  <sheetData>
    <row r="1" spans="1:15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5" x14ac:dyDescent="0.35">
      <c r="A2" s="59">
        <v>46204</v>
      </c>
      <c r="B2" s="12"/>
      <c r="C2" s="13"/>
      <c r="I2" s="55"/>
    </row>
    <row r="3" spans="1:15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</row>
    <row r="4" spans="1:15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  <c r="L4" s="55"/>
      <c r="N4" s="55"/>
      <c r="O4" s="55"/>
    </row>
    <row r="5" spans="1:15" x14ac:dyDescent="0.35">
      <c r="A5" s="6" t="s">
        <v>27</v>
      </c>
      <c r="B5" s="7" t="s">
        <v>47</v>
      </c>
      <c r="C5" s="7">
        <v>11.3443</v>
      </c>
      <c r="D5" s="7">
        <v>11.355700000000001</v>
      </c>
      <c r="E5" s="15">
        <f>SUM(C5:D5)/2</f>
        <v>11.350000000000001</v>
      </c>
      <c r="G5" s="16">
        <f>IF(E5=0," ",1/E5)</f>
        <v>8.8105726872246687E-2</v>
      </c>
      <c r="I5" s="55"/>
      <c r="J5" s="55"/>
      <c r="K5" s="55"/>
      <c r="L5" s="55"/>
      <c r="M5" s="55"/>
      <c r="N5" s="55"/>
      <c r="O5" s="55"/>
    </row>
    <row r="6" spans="1:15" x14ac:dyDescent="0.35">
      <c r="A6" s="6" t="s">
        <v>28</v>
      </c>
      <c r="B6" s="7" t="s">
        <v>48</v>
      </c>
      <c r="C6" s="7">
        <v>15.074299999999999</v>
      </c>
      <c r="D6" s="7">
        <v>15.0906</v>
      </c>
      <c r="E6" s="15">
        <f t="shared" ref="E6:E23" si="0">SUM(C6:D6)/2</f>
        <v>15.08245</v>
      </c>
      <c r="G6" s="16">
        <f t="shared" ref="G6:G17" si="1">IF(E6=0," ",1/E6)</f>
        <v>6.6302225434196699E-2</v>
      </c>
      <c r="I6" s="55"/>
      <c r="J6" s="55"/>
      <c r="K6" s="55"/>
      <c r="L6" s="55"/>
      <c r="M6" s="55"/>
      <c r="N6" s="55"/>
      <c r="O6" s="55"/>
    </row>
    <row r="7" spans="1:15" x14ac:dyDescent="0.35">
      <c r="A7" s="6" t="s">
        <v>29</v>
      </c>
      <c r="B7" s="7" t="s">
        <v>49</v>
      </c>
      <c r="C7" s="7">
        <v>14.0357</v>
      </c>
      <c r="D7" s="7">
        <v>14.0495</v>
      </c>
      <c r="E7" s="17">
        <f t="shared" si="0"/>
        <v>14.0426</v>
      </c>
      <c r="G7" s="18">
        <f t="shared" si="1"/>
        <v>7.121188383917508E-2</v>
      </c>
      <c r="I7" s="55"/>
      <c r="J7" s="55"/>
      <c r="K7" s="55"/>
      <c r="L7" s="55"/>
      <c r="M7" s="55"/>
      <c r="N7" s="55"/>
      <c r="O7" s="55"/>
    </row>
    <row r="8" spans="1:15" x14ac:dyDescent="0.35">
      <c r="A8" s="6" t="s">
        <v>30</v>
      </c>
      <c r="B8" s="7" t="s">
        <v>50</v>
      </c>
      <c r="C8" s="7">
        <v>7.8326000000000002</v>
      </c>
      <c r="D8" s="7">
        <v>7.8411</v>
      </c>
      <c r="E8" s="17">
        <f t="shared" si="0"/>
        <v>7.8368500000000001</v>
      </c>
      <c r="G8" s="18">
        <f t="shared" si="1"/>
        <v>0.12760228918506797</v>
      </c>
      <c r="I8" s="55"/>
      <c r="J8" s="55"/>
      <c r="K8" s="55"/>
      <c r="L8" s="55"/>
      <c r="M8" s="55"/>
      <c r="N8" s="55"/>
      <c r="O8" s="55"/>
    </row>
    <row r="9" spans="1:15" x14ac:dyDescent="0.35">
      <c r="A9" s="6" t="s">
        <v>31</v>
      </c>
      <c r="B9" s="7" t="s">
        <v>51</v>
      </c>
      <c r="C9" s="7">
        <v>7.9867999999999997</v>
      </c>
      <c r="D9" s="7">
        <v>7.9946000000000002</v>
      </c>
      <c r="E9" s="17">
        <f t="shared" si="0"/>
        <v>7.9907000000000004</v>
      </c>
      <c r="G9" s="18">
        <f t="shared" si="1"/>
        <v>0.12514548162238601</v>
      </c>
      <c r="I9" s="55"/>
      <c r="J9" s="55"/>
      <c r="K9" s="55"/>
      <c r="L9" s="55"/>
      <c r="M9" s="55"/>
      <c r="N9" s="55"/>
      <c r="O9" s="55"/>
    </row>
    <row r="10" spans="1:15" x14ac:dyDescent="0.35">
      <c r="A10" s="6" t="s">
        <v>32</v>
      </c>
      <c r="B10" s="7" t="s">
        <v>52</v>
      </c>
      <c r="C10" s="7">
        <v>1.728</v>
      </c>
      <c r="D10" s="7">
        <v>1.7297</v>
      </c>
      <c r="E10" s="17">
        <f t="shared" si="0"/>
        <v>1.72885</v>
      </c>
      <c r="G10" s="18">
        <f t="shared" si="1"/>
        <v>0.57841918038002138</v>
      </c>
      <c r="I10" s="55"/>
      <c r="J10" s="55"/>
      <c r="K10" s="55"/>
      <c r="L10" s="55"/>
      <c r="M10" s="55"/>
      <c r="N10" s="55"/>
      <c r="O10" s="55"/>
    </row>
    <row r="11" spans="1:15" x14ac:dyDescent="0.35">
      <c r="A11" s="6" t="s">
        <v>33</v>
      </c>
      <c r="B11" s="7" t="s">
        <v>53</v>
      </c>
      <c r="C11" s="7">
        <v>6.9900000000000004E-2</v>
      </c>
      <c r="D11" s="7">
        <v>6.9900000000000004E-2</v>
      </c>
      <c r="E11" s="17">
        <f t="shared" si="0"/>
        <v>6.9900000000000004E-2</v>
      </c>
      <c r="G11" s="18">
        <f t="shared" si="1"/>
        <v>14.306151645207438</v>
      </c>
      <c r="I11" s="55"/>
      <c r="J11" s="55"/>
      <c r="K11" s="55"/>
      <c r="L11" s="55"/>
      <c r="M11" s="55"/>
      <c r="N11" s="55"/>
      <c r="O11" s="55"/>
    </row>
    <row r="12" spans="1:15" x14ac:dyDescent="0.35">
      <c r="A12" s="6" t="s">
        <v>34</v>
      </c>
      <c r="B12" s="7" t="s">
        <v>54</v>
      </c>
      <c r="C12" s="7">
        <v>6.4428000000000001</v>
      </c>
      <c r="D12" s="7">
        <v>6.4512</v>
      </c>
      <c r="E12" s="17">
        <f t="shared" si="0"/>
        <v>6.4470000000000001</v>
      </c>
      <c r="G12" s="18">
        <f t="shared" si="1"/>
        <v>0.15511090429657204</v>
      </c>
      <c r="I12" s="55"/>
      <c r="J12" s="55"/>
      <c r="K12" s="55"/>
      <c r="L12" s="55"/>
      <c r="M12" s="55"/>
      <c r="N12" s="55"/>
      <c r="O12" s="55"/>
    </row>
    <row r="13" spans="1:15" x14ac:dyDescent="0.35">
      <c r="A13" s="6" t="s">
        <v>35</v>
      </c>
      <c r="B13" s="7" t="s">
        <v>55</v>
      </c>
      <c r="C13" s="7">
        <v>1.1463000000000001</v>
      </c>
      <c r="D13" s="7">
        <v>1.1471</v>
      </c>
      <c r="E13" s="17">
        <f t="shared" si="0"/>
        <v>1.1467000000000001</v>
      </c>
      <c r="G13" s="18">
        <f t="shared" si="1"/>
        <v>0.87206767245138217</v>
      </c>
      <c r="I13" s="55"/>
      <c r="J13" s="55"/>
      <c r="K13" s="55"/>
      <c r="L13" s="55"/>
      <c r="M13" s="55"/>
      <c r="N13" s="55"/>
      <c r="O13" s="55"/>
    </row>
    <row r="14" spans="1:15" x14ac:dyDescent="0.35">
      <c r="A14" s="6" t="s">
        <v>36</v>
      </c>
      <c r="B14" s="7" t="s">
        <v>56</v>
      </c>
      <c r="C14" s="7">
        <v>1.1675</v>
      </c>
      <c r="D14" s="7">
        <v>1.1685000000000001</v>
      </c>
      <c r="E14" s="17">
        <f t="shared" si="0"/>
        <v>1.1680000000000001</v>
      </c>
      <c r="G14" s="18">
        <f t="shared" si="1"/>
        <v>0.8561643835616437</v>
      </c>
      <c r="I14" s="55"/>
      <c r="J14" s="55"/>
      <c r="K14" s="55"/>
      <c r="L14" s="55"/>
      <c r="M14" s="55"/>
      <c r="N14" s="55"/>
      <c r="O14" s="55"/>
    </row>
    <row r="15" spans="1:15" x14ac:dyDescent="0.35">
      <c r="A15" s="6" t="s">
        <v>37</v>
      </c>
      <c r="B15" s="7" t="s">
        <v>57</v>
      </c>
      <c r="C15" s="7">
        <v>0.69199999999999995</v>
      </c>
      <c r="D15" s="7">
        <v>0.6925</v>
      </c>
      <c r="E15" s="17">
        <f t="shared" si="0"/>
        <v>0.69225000000000003</v>
      </c>
      <c r="G15" s="18">
        <f t="shared" si="1"/>
        <v>1.4445648248465148</v>
      </c>
      <c r="I15" s="55"/>
      <c r="J15" s="55"/>
      <c r="K15" s="55"/>
      <c r="L15" s="55"/>
      <c r="M15" s="55"/>
      <c r="N15" s="55"/>
      <c r="O15" s="55"/>
    </row>
    <row r="16" spans="1:15" x14ac:dyDescent="0.35">
      <c r="A16" s="6" t="s">
        <v>38</v>
      </c>
      <c r="B16" s="7" t="s">
        <v>58</v>
      </c>
      <c r="C16" s="7">
        <v>12.9161</v>
      </c>
      <c r="D16" s="7">
        <v>12.928900000000001</v>
      </c>
      <c r="E16" s="15">
        <f t="shared" si="0"/>
        <v>12.922499999999999</v>
      </c>
      <c r="G16" s="16">
        <f t="shared" si="1"/>
        <v>7.7384407041981046E-2</v>
      </c>
      <c r="I16" s="55"/>
      <c r="J16" s="55"/>
      <c r="K16" s="55"/>
      <c r="L16" s="55"/>
      <c r="M16" s="55"/>
      <c r="N16" s="55"/>
      <c r="O16" s="55"/>
    </row>
    <row r="17" spans="1:19" x14ac:dyDescent="0.35">
      <c r="A17" s="6" t="s">
        <v>39</v>
      </c>
      <c r="B17" s="7" t="s">
        <v>59</v>
      </c>
      <c r="C17" s="7">
        <v>1.6706000000000001</v>
      </c>
      <c r="D17" s="7">
        <v>1.6717</v>
      </c>
      <c r="E17" s="17">
        <f t="shared" si="0"/>
        <v>1.6711499999999999</v>
      </c>
      <c r="G17" s="18">
        <f t="shared" si="1"/>
        <v>0.59839033001226705</v>
      </c>
      <c r="I17" s="55"/>
      <c r="J17" s="55"/>
      <c r="K17" s="55"/>
      <c r="L17" s="55"/>
      <c r="M17" s="55"/>
      <c r="N17" s="55"/>
      <c r="O17" s="55"/>
    </row>
    <row r="18" spans="1:19" x14ac:dyDescent="0.35">
      <c r="A18" s="6" t="s">
        <v>40</v>
      </c>
      <c r="B18" s="7" t="s">
        <v>60</v>
      </c>
      <c r="C18" s="7">
        <v>50.735700000000001</v>
      </c>
      <c r="D18" s="7">
        <v>50.786000000000001</v>
      </c>
      <c r="E18" s="19">
        <f>IF(G18=0," ",1/G18)</f>
        <v>1.9700221725995525E-2</v>
      </c>
      <c r="G18" s="20">
        <f>SUM(C18:D18)/2</f>
        <v>50.760850000000005</v>
      </c>
      <c r="I18" s="55"/>
      <c r="J18" s="55"/>
      <c r="K18" s="55"/>
      <c r="L18" s="55"/>
      <c r="M18" s="55"/>
      <c r="N18" s="55"/>
      <c r="O18" s="55"/>
    </row>
    <row r="19" spans="1:19" x14ac:dyDescent="0.35">
      <c r="A19" s="6" t="s">
        <v>41</v>
      </c>
      <c r="B19" s="7" t="s">
        <v>61</v>
      </c>
      <c r="C19" s="7">
        <v>6.4040999999999997</v>
      </c>
      <c r="D19" s="7">
        <v>6.4820000000000002</v>
      </c>
      <c r="E19" s="21">
        <f>IF(G19=0," ",1/G19)</f>
        <v>0.15520599715973027</v>
      </c>
      <c r="G19" s="22">
        <f>SUM(C19:D19)/2</f>
        <v>6.4430499999999995</v>
      </c>
      <c r="I19" s="55"/>
      <c r="J19" s="55"/>
      <c r="K19" s="55"/>
      <c r="L19" s="55"/>
      <c r="M19" s="56"/>
      <c r="N19" s="56"/>
      <c r="O19" s="55"/>
    </row>
    <row r="20" spans="1:19" x14ac:dyDescent="0.35">
      <c r="A20" s="6" t="s">
        <v>42</v>
      </c>
      <c r="B20" s="7" t="s">
        <v>62</v>
      </c>
      <c r="C20" s="7">
        <v>31.453700000000001</v>
      </c>
      <c r="D20" s="7">
        <v>31.541899999999998</v>
      </c>
      <c r="E20" s="21">
        <f>IF(G20=0," ",1/G20)</f>
        <v>3.1748249084063013E-2</v>
      </c>
      <c r="G20" s="22">
        <f>SUM(C20:D20)/2</f>
        <v>31.497799999999998</v>
      </c>
      <c r="I20" s="55"/>
      <c r="J20" s="55"/>
      <c r="K20" s="55"/>
      <c r="L20" s="55"/>
      <c r="M20" s="56"/>
      <c r="N20" s="56"/>
      <c r="O20" s="56"/>
    </row>
    <row r="21" spans="1:19" x14ac:dyDescent="0.35">
      <c r="A21" s="6" t="s">
        <v>43</v>
      </c>
      <c r="B21" s="7" t="s">
        <v>63</v>
      </c>
      <c r="C21" s="7">
        <v>120.748</v>
      </c>
      <c r="D21" s="7">
        <v>121.23260000000001</v>
      </c>
      <c r="E21" s="21">
        <f>IF(G21=0," ",1/G21)</f>
        <v>8.2651253860846693E-3</v>
      </c>
      <c r="G21" s="22">
        <f>SUM(C21:D21)/2</f>
        <v>120.9903</v>
      </c>
      <c r="I21" s="55"/>
      <c r="J21" s="55"/>
      <c r="K21" s="55"/>
      <c r="L21" s="55"/>
      <c r="M21" s="56"/>
      <c r="N21" s="56"/>
      <c r="O21" s="56"/>
      <c r="P21" s="56"/>
      <c r="Q21" s="56"/>
      <c r="R21" s="56"/>
      <c r="S21" s="56"/>
    </row>
    <row r="22" spans="1:19" x14ac:dyDescent="0.35">
      <c r="A22" s="6" t="s">
        <v>44</v>
      </c>
      <c r="B22" s="7" t="s">
        <v>64</v>
      </c>
      <c r="C22" s="61">
        <v>2103.9648000000002</v>
      </c>
      <c r="D22" s="61">
        <v>2159.9524999999999</v>
      </c>
      <c r="E22" s="23">
        <f>IF(G22=0," ",1/G22)</f>
        <v>4.6905224920755381E-4</v>
      </c>
      <c r="G22" s="24">
        <f>SUM(C22:D22)/2</f>
        <v>2131.95865</v>
      </c>
      <c r="I22" s="55"/>
      <c r="J22" s="55"/>
      <c r="K22" s="55"/>
      <c r="L22" s="55"/>
      <c r="M22" s="55"/>
      <c r="N22" s="55"/>
      <c r="O22" s="55"/>
    </row>
    <row r="23" spans="1:19" x14ac:dyDescent="0.35">
      <c r="A23" s="6" t="s">
        <v>45</v>
      </c>
      <c r="B23" s="7" t="s">
        <v>65</v>
      </c>
      <c r="C23" s="7">
        <v>1.32E-2</v>
      </c>
      <c r="D23" s="7">
        <v>1.32E-2</v>
      </c>
      <c r="E23" s="17">
        <f t="shared" si="0"/>
        <v>1.32E-2</v>
      </c>
      <c r="G23" s="18">
        <f>IF(E23=0," ",1/E23)</f>
        <v>75.757575757575765</v>
      </c>
      <c r="J23" s="55"/>
      <c r="K23" s="55"/>
      <c r="L23" s="55"/>
      <c r="M23" s="56"/>
      <c r="N23" s="56"/>
      <c r="O23" s="56"/>
      <c r="P23" s="56"/>
    </row>
    <row r="24" spans="1:19" x14ac:dyDescent="0.35">
      <c r="J24" s="55"/>
      <c r="K24" s="55"/>
      <c r="L24" s="55"/>
    </row>
    <row r="25" spans="1:19" x14ac:dyDescent="0.35">
      <c r="K25" s="55"/>
      <c r="L25" s="55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B2" sqref="B2"/>
    </sheetView>
  </sheetViews>
  <sheetFormatPr defaultRowHeight="14.5" x14ac:dyDescent="0.35"/>
  <cols>
    <col min="1" max="1" width="28.1796875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5" customWidth="1"/>
    <col min="7" max="7" width="11.54296875" bestFit="1" customWidth="1"/>
  </cols>
  <sheetData>
    <row r="1" spans="1:13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3" x14ac:dyDescent="0.35">
      <c r="A2" s="59">
        <f>('01-07'!A2)+1</f>
        <v>46205</v>
      </c>
      <c r="B2" s="60"/>
      <c r="C2" s="13"/>
      <c r="I2" s="55"/>
    </row>
    <row r="3" spans="1:13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</row>
    <row r="4" spans="1:13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  <c r="M4" s="55"/>
    </row>
    <row r="5" spans="1:13" x14ac:dyDescent="0.35">
      <c r="A5" s="6" t="s">
        <v>27</v>
      </c>
      <c r="B5" t="s">
        <v>47</v>
      </c>
      <c r="C5">
        <v>11.383800000000001</v>
      </c>
      <c r="D5">
        <v>11.395200000000001</v>
      </c>
      <c r="E5" s="15">
        <f t="shared" ref="E5:E17" si="0">SUM(C5:D5)/2</f>
        <v>11.389500000000002</v>
      </c>
      <c r="G5" s="16">
        <f>IF(E5=0," ",1/E5)</f>
        <v>8.7800166820316938E-2</v>
      </c>
      <c r="I5" s="55"/>
      <c r="J5" s="55"/>
      <c r="K5" s="55"/>
      <c r="L5" s="55"/>
      <c r="M5" s="55"/>
    </row>
    <row r="6" spans="1:13" x14ac:dyDescent="0.35">
      <c r="A6" s="6" t="s">
        <v>28</v>
      </c>
      <c r="B6" t="s">
        <v>48</v>
      </c>
      <c r="C6">
        <v>15.2042</v>
      </c>
      <c r="D6">
        <v>15.220599999999999</v>
      </c>
      <c r="E6" s="15">
        <f t="shared" si="0"/>
        <v>15.212399999999999</v>
      </c>
      <c r="G6" s="16">
        <f t="shared" ref="G6:G17" si="1">IF(E6=0," ",1/E6)</f>
        <v>6.5735847072125375E-2</v>
      </c>
      <c r="I6" s="55"/>
      <c r="J6" s="55"/>
      <c r="K6" s="55"/>
      <c r="L6" s="55"/>
      <c r="M6" s="55"/>
    </row>
    <row r="7" spans="1:13" x14ac:dyDescent="0.35">
      <c r="A7" s="6" t="s">
        <v>29</v>
      </c>
      <c r="B7" t="s">
        <v>49</v>
      </c>
      <c r="C7">
        <v>14.185700000000001</v>
      </c>
      <c r="D7">
        <v>14.1983</v>
      </c>
      <c r="E7" s="17">
        <f t="shared" si="0"/>
        <v>14.192</v>
      </c>
      <c r="G7" s="18">
        <f t="shared" si="1"/>
        <v>7.046223224351747E-2</v>
      </c>
      <c r="I7" s="55"/>
      <c r="J7" s="55"/>
      <c r="K7" s="55"/>
      <c r="L7" s="55"/>
      <c r="M7" s="55"/>
    </row>
    <row r="8" spans="1:13" x14ac:dyDescent="0.35">
      <c r="A8" s="6" t="s">
        <v>30</v>
      </c>
      <c r="B8" t="s">
        <v>50</v>
      </c>
      <c r="C8">
        <v>7.8834</v>
      </c>
      <c r="D8">
        <v>7.8918999999999997</v>
      </c>
      <c r="E8" s="17">
        <f t="shared" si="0"/>
        <v>7.8876499999999998</v>
      </c>
      <c r="G8" s="18">
        <f t="shared" si="1"/>
        <v>0.12678047327150674</v>
      </c>
      <c r="I8" s="55"/>
      <c r="J8" s="55"/>
      <c r="K8" s="55"/>
      <c r="L8" s="55"/>
      <c r="M8" s="55"/>
    </row>
    <row r="9" spans="1:13" x14ac:dyDescent="0.35">
      <c r="A9" s="6" t="s">
        <v>31</v>
      </c>
      <c r="B9" t="s">
        <v>51</v>
      </c>
      <c r="C9">
        <v>8.0280000000000005</v>
      </c>
      <c r="D9">
        <v>8.0358000000000001</v>
      </c>
      <c r="E9" s="17">
        <f t="shared" si="0"/>
        <v>8.0319000000000003</v>
      </c>
      <c r="G9" s="18">
        <f t="shared" si="1"/>
        <v>0.12450354212577347</v>
      </c>
      <c r="I9" s="55"/>
      <c r="J9" s="55"/>
      <c r="K9" s="55"/>
      <c r="L9" s="55"/>
      <c r="M9" s="55"/>
    </row>
    <row r="10" spans="1:13" x14ac:dyDescent="0.35">
      <c r="A10" s="6" t="s">
        <v>32</v>
      </c>
      <c r="B10" t="s">
        <v>52</v>
      </c>
      <c r="C10">
        <v>1.7421</v>
      </c>
      <c r="D10">
        <v>1.7438</v>
      </c>
      <c r="E10" s="17">
        <f t="shared" si="0"/>
        <v>1.74295</v>
      </c>
      <c r="G10" s="18">
        <f t="shared" si="1"/>
        <v>0.57373992369259019</v>
      </c>
      <c r="I10" s="55"/>
      <c r="J10" s="55"/>
      <c r="K10" s="55"/>
      <c r="L10" s="55"/>
      <c r="M10" s="55"/>
    </row>
    <row r="11" spans="1:13" x14ac:dyDescent="0.35">
      <c r="A11" s="6" t="s">
        <v>33</v>
      </c>
      <c r="B11" t="s">
        <v>53</v>
      </c>
      <c r="C11">
        <v>7.0699999999999999E-2</v>
      </c>
      <c r="D11">
        <v>7.0800000000000002E-2</v>
      </c>
      <c r="E11" s="17">
        <f t="shared" si="0"/>
        <v>7.0750000000000007E-2</v>
      </c>
      <c r="G11" s="18">
        <f t="shared" si="1"/>
        <v>14.134275618374557</v>
      </c>
      <c r="I11" s="55"/>
      <c r="J11" s="55"/>
      <c r="K11" s="55"/>
      <c r="L11" s="55"/>
      <c r="M11" s="55"/>
    </row>
    <row r="12" spans="1:13" x14ac:dyDescent="0.35">
      <c r="A12" s="6" t="s">
        <v>34</v>
      </c>
      <c r="B12" t="s">
        <v>54</v>
      </c>
      <c r="C12">
        <v>6.4892000000000003</v>
      </c>
      <c r="D12">
        <v>6.4977</v>
      </c>
      <c r="E12" s="17">
        <f t="shared" si="0"/>
        <v>6.4934500000000002</v>
      </c>
      <c r="G12" s="18">
        <f t="shared" si="1"/>
        <v>0.15400133981165637</v>
      </c>
      <c r="I12" s="55"/>
      <c r="J12" s="55"/>
      <c r="K12" s="55"/>
      <c r="L12" s="55"/>
      <c r="M12" s="55"/>
    </row>
    <row r="13" spans="1:13" x14ac:dyDescent="0.35">
      <c r="A13" s="6" t="s">
        <v>35</v>
      </c>
      <c r="B13" t="s">
        <v>55</v>
      </c>
      <c r="C13">
        <v>1.1571</v>
      </c>
      <c r="D13">
        <v>1.1577999999999999</v>
      </c>
      <c r="E13" s="17">
        <f t="shared" si="0"/>
        <v>1.1574499999999999</v>
      </c>
      <c r="G13" s="18">
        <f t="shared" si="1"/>
        <v>0.86396820597002044</v>
      </c>
      <c r="I13" s="55"/>
      <c r="J13" s="55"/>
      <c r="K13" s="55"/>
      <c r="L13" s="55"/>
      <c r="M13" s="55"/>
    </row>
    <row r="14" spans="1:13" x14ac:dyDescent="0.35">
      <c r="A14" s="6" t="s">
        <v>36</v>
      </c>
      <c r="B14" t="s">
        <v>56</v>
      </c>
      <c r="C14">
        <v>1.1780999999999999</v>
      </c>
      <c r="D14">
        <v>1.179</v>
      </c>
      <c r="E14" s="17">
        <f t="shared" si="0"/>
        <v>1.17855</v>
      </c>
      <c r="G14" s="18">
        <f t="shared" si="1"/>
        <v>0.84850027576258968</v>
      </c>
      <c r="I14" s="55"/>
      <c r="J14" s="55"/>
      <c r="K14" s="55"/>
      <c r="L14" s="55"/>
      <c r="M14" s="55"/>
    </row>
    <row r="15" spans="1:13" x14ac:dyDescent="0.35">
      <c r="A15" s="6" t="s">
        <v>37</v>
      </c>
      <c r="B15" t="s">
        <v>57</v>
      </c>
      <c r="C15">
        <v>0.70009999999999994</v>
      </c>
      <c r="D15">
        <v>0.70050000000000001</v>
      </c>
      <c r="E15" s="17">
        <f t="shared" si="0"/>
        <v>0.70029999999999992</v>
      </c>
      <c r="G15" s="18">
        <f t="shared" si="1"/>
        <v>1.4279594459517351</v>
      </c>
      <c r="I15" s="55"/>
      <c r="J15" s="55"/>
      <c r="K15" s="55"/>
      <c r="L15" s="55"/>
      <c r="M15" s="55"/>
    </row>
    <row r="16" spans="1:13" x14ac:dyDescent="0.35">
      <c r="A16" s="6" t="s">
        <v>38</v>
      </c>
      <c r="B16" t="s">
        <v>58</v>
      </c>
      <c r="C16">
        <v>13.021800000000001</v>
      </c>
      <c r="D16">
        <v>13.034700000000001</v>
      </c>
      <c r="E16" s="15">
        <f t="shared" si="0"/>
        <v>13.02825</v>
      </c>
      <c r="G16" s="16">
        <f t="shared" si="1"/>
        <v>7.6756279623126672E-2</v>
      </c>
      <c r="I16" s="55"/>
      <c r="J16" s="55"/>
      <c r="K16" s="55"/>
      <c r="L16" s="55"/>
      <c r="M16" s="55"/>
    </row>
    <row r="17" spans="1:16" x14ac:dyDescent="0.35">
      <c r="A17" s="6" t="s">
        <v>39</v>
      </c>
      <c r="B17" t="s">
        <v>59</v>
      </c>
      <c r="C17">
        <v>1.6778999999999999</v>
      </c>
      <c r="D17">
        <v>1.6793</v>
      </c>
      <c r="E17" s="17">
        <f t="shared" si="0"/>
        <v>1.6785999999999999</v>
      </c>
      <c r="G17" s="18">
        <f t="shared" si="1"/>
        <v>0.59573454068866916</v>
      </c>
      <c r="I17" s="55"/>
      <c r="J17" s="55"/>
      <c r="K17" s="55"/>
      <c r="L17" s="55"/>
      <c r="M17" s="55"/>
    </row>
    <row r="18" spans="1:16" x14ac:dyDescent="0.35">
      <c r="A18" s="6" t="s">
        <v>40</v>
      </c>
      <c r="B18" t="s">
        <v>60</v>
      </c>
      <c r="C18">
        <v>50.323900000000002</v>
      </c>
      <c r="D18">
        <v>50.373800000000003</v>
      </c>
      <c r="E18" s="19">
        <f>IF(G18=0," ",1/G18)</f>
        <v>1.9861426825041686E-2</v>
      </c>
      <c r="G18" s="20">
        <f>SUM(C18:D18)/2</f>
        <v>50.348849999999999</v>
      </c>
      <c r="I18" s="55"/>
      <c r="J18" s="55"/>
      <c r="K18" s="55"/>
      <c r="L18" s="55"/>
      <c r="M18" s="55"/>
    </row>
    <row r="19" spans="1:16" x14ac:dyDescent="0.35">
      <c r="A19" s="6" t="s">
        <v>41</v>
      </c>
      <c r="B19" t="s">
        <v>61</v>
      </c>
      <c r="C19">
        <v>6.3818999999999999</v>
      </c>
      <c r="D19">
        <v>6.4040999999999997</v>
      </c>
      <c r="E19" s="21">
        <f>IF(G19=0," ",1/G19)</f>
        <v>0.15642108556233381</v>
      </c>
      <c r="G19" s="22">
        <f>SUM(C19:D19)/2</f>
        <v>6.3929999999999998</v>
      </c>
      <c r="I19" s="55"/>
      <c r="J19" s="55"/>
      <c r="K19" s="55"/>
      <c r="L19" s="55"/>
      <c r="M19" s="55"/>
      <c r="N19" s="56"/>
    </row>
    <row r="20" spans="1:16" x14ac:dyDescent="0.35">
      <c r="A20" s="6" t="s">
        <v>42</v>
      </c>
      <c r="B20" s="56" t="s">
        <v>62</v>
      </c>
      <c r="C20">
        <v>31.3447</v>
      </c>
      <c r="D20">
        <v>31.432500000000001</v>
      </c>
      <c r="E20" s="21">
        <f>IF(G20=0," ",1/G20)</f>
        <v>3.185870029246287E-2</v>
      </c>
      <c r="G20" s="22">
        <f>SUM(C20:D20)/2</f>
        <v>31.3886</v>
      </c>
      <c r="I20" s="55"/>
      <c r="J20" s="55"/>
      <c r="K20" s="55"/>
      <c r="L20" s="55"/>
      <c r="M20" s="55"/>
      <c r="N20" s="56"/>
      <c r="O20" s="56"/>
    </row>
    <row r="21" spans="1:16" x14ac:dyDescent="0.35">
      <c r="A21" s="6" t="s">
        <v>43</v>
      </c>
      <c r="B21" s="56" t="s">
        <v>63</v>
      </c>
      <c r="C21">
        <v>120.3573</v>
      </c>
      <c r="D21">
        <v>120.4451</v>
      </c>
      <c r="E21" s="21">
        <f>IF(G21=0," ",1/G21)</f>
        <v>8.3055650608133483E-3</v>
      </c>
      <c r="G21" s="22">
        <f>SUM(C21:D21)/2</f>
        <v>120.40119999999999</v>
      </c>
      <c r="I21" s="55"/>
      <c r="J21" s="55"/>
      <c r="K21" s="55"/>
      <c r="L21" s="55"/>
      <c r="M21" s="55"/>
      <c r="N21" s="56"/>
      <c r="O21" s="56"/>
    </row>
    <row r="22" spans="1:16" x14ac:dyDescent="0.35">
      <c r="A22" s="6" t="s">
        <v>44</v>
      </c>
      <c r="B22" t="s">
        <v>64</v>
      </c>
      <c r="C22">
        <v>2091.8564999999999</v>
      </c>
      <c r="D22">
        <v>2145.4313999999999</v>
      </c>
      <c r="E22" s="23">
        <f>IF(G22=0," ",1/G22)</f>
        <v>4.7200002624320155E-4</v>
      </c>
      <c r="G22" s="24">
        <f>SUM(C22:D22)/2</f>
        <v>2118.6439499999997</v>
      </c>
      <c r="J22" s="55"/>
      <c r="K22" s="56"/>
      <c r="L22" s="55"/>
      <c r="M22" s="55"/>
      <c r="N22" s="56"/>
      <c r="O22" s="56"/>
      <c r="P22" s="56"/>
    </row>
    <row r="23" spans="1:16" x14ac:dyDescent="0.35">
      <c r="A23" s="6" t="s">
        <v>45</v>
      </c>
      <c r="B23" t="s">
        <v>65</v>
      </c>
      <c r="C23">
        <v>1.3100000000000001E-2</v>
      </c>
      <c r="D23">
        <v>1.3100000000000001E-2</v>
      </c>
      <c r="E23" s="17">
        <f>SUM(C23:D23)/2</f>
        <v>1.3100000000000001E-2</v>
      </c>
      <c r="G23" s="18">
        <f>IF(E23=0," ",1/E23)</f>
        <v>76.33587786259541</v>
      </c>
      <c r="J23" s="55"/>
      <c r="K23" s="56"/>
      <c r="L23" s="55"/>
      <c r="M23" s="55"/>
    </row>
    <row r="24" spans="1:16" x14ac:dyDescent="0.35">
      <c r="J24" s="55"/>
      <c r="K24" s="55"/>
      <c r="L24" s="55"/>
    </row>
    <row r="25" spans="1:16" x14ac:dyDescent="0.35">
      <c r="K25" s="55"/>
      <c r="L25" s="5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"/>
  <sheetViews>
    <sheetView workbookViewId="0">
      <selection activeCell="B2" sqref="B2"/>
    </sheetView>
  </sheetViews>
  <sheetFormatPr defaultRowHeight="14.5" x14ac:dyDescent="0.35"/>
  <cols>
    <col min="1" max="1" width="28" customWidth="1"/>
    <col min="2" max="2" width="14" customWidth="1"/>
    <col min="3" max="4" width="11.54296875" bestFit="1" customWidth="1"/>
    <col min="5" max="5" width="11.54296875" style="1" bestFit="1" customWidth="1"/>
    <col min="6" max="6" width="4.453125" customWidth="1"/>
    <col min="7" max="7" width="11.54296875" bestFit="1" customWidth="1"/>
  </cols>
  <sheetData>
    <row r="1" spans="1:13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3" x14ac:dyDescent="0.35">
      <c r="A2" s="59">
        <f>('02-07'!A2)+1</f>
        <v>46206</v>
      </c>
      <c r="B2" s="12" t="s">
        <v>25</v>
      </c>
      <c r="C2" s="13"/>
      <c r="I2" s="55"/>
      <c r="J2" s="55"/>
    </row>
    <row r="3" spans="1:13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</row>
    <row r="4" spans="1:13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  <c r="M4" s="55"/>
    </row>
    <row r="5" spans="1:13" x14ac:dyDescent="0.35">
      <c r="A5" s="6"/>
      <c r="B5" s="7"/>
      <c r="C5" s="7"/>
      <c r="D5" s="7"/>
      <c r="E5" s="15">
        <f t="shared" ref="E5:E17" si="0">SUM(C5:D5)/2</f>
        <v>0</v>
      </c>
      <c r="G5" s="16" t="str">
        <f>IF(E5=0," ",1/E5)</f>
        <v xml:space="preserve"> </v>
      </c>
      <c r="I5" s="55"/>
      <c r="J5" s="55"/>
      <c r="K5" s="55"/>
      <c r="L5" s="55"/>
      <c r="M5" s="55"/>
    </row>
    <row r="6" spans="1:13" x14ac:dyDescent="0.35">
      <c r="A6" s="6"/>
      <c r="B6" s="7"/>
      <c r="C6" s="7"/>
      <c r="D6" s="7"/>
      <c r="E6" s="15">
        <f t="shared" si="0"/>
        <v>0</v>
      </c>
      <c r="G6" s="16" t="str">
        <f t="shared" ref="G6:G17" si="1">IF(E6=0," ",1/E6)</f>
        <v xml:space="preserve"> </v>
      </c>
      <c r="I6" s="55"/>
      <c r="J6" s="55"/>
      <c r="K6" s="55"/>
      <c r="L6" s="55"/>
      <c r="M6" s="55"/>
    </row>
    <row r="7" spans="1:13" x14ac:dyDescent="0.35">
      <c r="A7" s="6"/>
      <c r="B7" s="7"/>
      <c r="C7" s="7"/>
      <c r="D7" s="7"/>
      <c r="E7" s="17">
        <f t="shared" si="0"/>
        <v>0</v>
      </c>
      <c r="G7" s="18" t="str">
        <f t="shared" si="1"/>
        <v xml:space="preserve"> </v>
      </c>
      <c r="I7" s="55"/>
      <c r="J7" s="55"/>
      <c r="K7" s="55"/>
      <c r="L7" s="55"/>
      <c r="M7" s="55"/>
    </row>
    <row r="8" spans="1:13" x14ac:dyDescent="0.35">
      <c r="A8" s="6"/>
      <c r="B8" s="7"/>
      <c r="C8" s="7"/>
      <c r="D8" s="7"/>
      <c r="E8" s="17">
        <f t="shared" si="0"/>
        <v>0</v>
      </c>
      <c r="G8" s="18" t="str">
        <f t="shared" si="1"/>
        <v xml:space="preserve"> </v>
      </c>
      <c r="I8" s="55"/>
      <c r="J8" s="55"/>
      <c r="K8" s="55"/>
      <c r="L8" s="55"/>
      <c r="M8" s="55"/>
    </row>
    <row r="9" spans="1:13" x14ac:dyDescent="0.35">
      <c r="A9" s="6"/>
      <c r="B9" s="7"/>
      <c r="C9" s="7"/>
      <c r="D9" s="7"/>
      <c r="E9" s="17">
        <f t="shared" si="0"/>
        <v>0</v>
      </c>
      <c r="G9" s="18" t="str">
        <f t="shared" si="1"/>
        <v xml:space="preserve"> </v>
      </c>
      <c r="I9" s="55"/>
      <c r="J9" s="55"/>
      <c r="K9" s="55"/>
      <c r="L9" s="55"/>
      <c r="M9" s="55"/>
    </row>
    <row r="10" spans="1:13" x14ac:dyDescent="0.35">
      <c r="A10" s="6"/>
      <c r="B10" s="7"/>
      <c r="C10" s="7"/>
      <c r="D10" s="7"/>
      <c r="E10" s="17">
        <f t="shared" si="0"/>
        <v>0</v>
      </c>
      <c r="G10" s="18" t="str">
        <f t="shared" si="1"/>
        <v xml:space="preserve"> </v>
      </c>
      <c r="I10" s="55"/>
      <c r="J10" s="55"/>
      <c r="K10" s="55"/>
      <c r="L10" s="55"/>
      <c r="M10" s="55"/>
    </row>
    <row r="11" spans="1:13" x14ac:dyDescent="0.35">
      <c r="A11" s="6"/>
      <c r="B11" s="7"/>
      <c r="C11" s="7"/>
      <c r="D11" s="7"/>
      <c r="E11" s="17">
        <f t="shared" si="0"/>
        <v>0</v>
      </c>
      <c r="G11" s="18" t="str">
        <f t="shared" si="1"/>
        <v xml:space="preserve"> </v>
      </c>
      <c r="I11" s="55"/>
      <c r="J11" s="55"/>
      <c r="K11" s="55"/>
      <c r="L11" s="55"/>
      <c r="M11" s="55"/>
    </row>
    <row r="12" spans="1:13" x14ac:dyDescent="0.35">
      <c r="A12" s="6"/>
      <c r="B12" s="7"/>
      <c r="C12" s="7"/>
      <c r="D12" s="7"/>
      <c r="E12" s="17">
        <f t="shared" si="0"/>
        <v>0</v>
      </c>
      <c r="G12" s="18" t="str">
        <f t="shared" si="1"/>
        <v xml:space="preserve"> </v>
      </c>
      <c r="I12" s="55"/>
      <c r="J12" s="55"/>
      <c r="K12" s="55"/>
      <c r="L12" s="55"/>
      <c r="M12" s="55"/>
    </row>
    <row r="13" spans="1:13" x14ac:dyDescent="0.35">
      <c r="A13" s="6"/>
      <c r="B13" s="7"/>
      <c r="C13" s="7"/>
      <c r="D13" s="7"/>
      <c r="E13" s="17">
        <f t="shared" si="0"/>
        <v>0</v>
      </c>
      <c r="G13" s="18" t="str">
        <f t="shared" si="1"/>
        <v xml:space="preserve"> </v>
      </c>
      <c r="I13" s="55"/>
      <c r="J13" s="55"/>
      <c r="K13" s="55"/>
      <c r="L13" s="55"/>
      <c r="M13" s="55"/>
    </row>
    <row r="14" spans="1:13" x14ac:dyDescent="0.35">
      <c r="A14" s="6"/>
      <c r="B14" s="7"/>
      <c r="C14" s="7"/>
      <c r="D14" s="7"/>
      <c r="E14" s="17">
        <f t="shared" si="0"/>
        <v>0</v>
      </c>
      <c r="G14" s="18" t="str">
        <f t="shared" si="1"/>
        <v xml:space="preserve"> </v>
      </c>
      <c r="I14" s="55"/>
      <c r="J14" s="55"/>
      <c r="K14" s="55"/>
      <c r="L14" s="55"/>
      <c r="M14" s="55"/>
    </row>
    <row r="15" spans="1:13" x14ac:dyDescent="0.35">
      <c r="A15" s="6"/>
      <c r="B15" s="7"/>
      <c r="C15" s="7"/>
      <c r="D15" s="7"/>
      <c r="E15" s="17">
        <f t="shared" si="0"/>
        <v>0</v>
      </c>
      <c r="G15" s="18" t="str">
        <f t="shared" si="1"/>
        <v xml:space="preserve"> </v>
      </c>
      <c r="I15" s="55"/>
      <c r="J15" s="55"/>
      <c r="K15" s="55"/>
      <c r="L15" s="55"/>
      <c r="M15" s="55"/>
    </row>
    <row r="16" spans="1:13" x14ac:dyDescent="0.35">
      <c r="A16" s="6"/>
      <c r="B16" s="7"/>
      <c r="C16" s="7"/>
      <c r="D16" s="7"/>
      <c r="E16" s="15">
        <f t="shared" si="0"/>
        <v>0</v>
      </c>
      <c r="G16" s="16" t="str">
        <f t="shared" si="1"/>
        <v xml:space="preserve"> </v>
      </c>
      <c r="I16" s="55"/>
      <c r="J16" s="55"/>
      <c r="K16" s="55"/>
      <c r="L16" s="55"/>
      <c r="M16" s="55"/>
    </row>
    <row r="17" spans="1:18" x14ac:dyDescent="0.35">
      <c r="A17" s="6"/>
      <c r="B17" s="7"/>
      <c r="C17" s="7"/>
      <c r="D17" s="7"/>
      <c r="E17" s="17">
        <f t="shared" si="0"/>
        <v>0</v>
      </c>
      <c r="G17" s="18" t="str">
        <f t="shared" si="1"/>
        <v xml:space="preserve"> </v>
      </c>
      <c r="I17" s="55"/>
      <c r="J17" s="55"/>
      <c r="K17" s="55"/>
      <c r="L17" s="55"/>
      <c r="M17" s="55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G18" s="20">
        <f>SUM(C18:D18)/2</f>
        <v>0</v>
      </c>
      <c r="I18" s="55"/>
      <c r="J18" s="55"/>
      <c r="K18" s="55"/>
      <c r="L18" s="55"/>
      <c r="M18" s="55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G19" s="22">
        <f>SUM(C19:D19)/2</f>
        <v>0</v>
      </c>
      <c r="I19" s="55"/>
      <c r="J19" s="55"/>
      <c r="K19" s="55"/>
      <c r="L19" s="56"/>
      <c r="M19" s="56"/>
      <c r="N19" s="56"/>
      <c r="O19" s="56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G20" s="22">
        <f>SUM(C20:D20)/2</f>
        <v>0</v>
      </c>
      <c r="I20" s="55"/>
      <c r="J20" s="55"/>
      <c r="K20" s="55"/>
      <c r="L20" s="56"/>
      <c r="M20" s="56"/>
      <c r="N20" s="56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G21" s="22">
        <f>SUM(C21:D21)/2</f>
        <v>0</v>
      </c>
      <c r="I21" s="55"/>
      <c r="J21" s="55"/>
      <c r="K21" s="55"/>
      <c r="L21" s="55"/>
      <c r="M21" s="55"/>
      <c r="N21" s="56"/>
      <c r="O21" s="56"/>
      <c r="P21" s="56"/>
      <c r="Q21" s="56"/>
      <c r="R21" s="56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G22" s="24">
        <f>SUM(C22:D22)/2</f>
        <v>0</v>
      </c>
      <c r="I22" s="55"/>
      <c r="J22" s="55"/>
      <c r="K22" s="55"/>
      <c r="L22" s="56"/>
      <c r="M22" s="56"/>
      <c r="N22" s="56"/>
      <c r="O22" s="56"/>
      <c r="P22" s="56"/>
    </row>
    <row r="23" spans="1:18" x14ac:dyDescent="0.35">
      <c r="A23" s="6"/>
      <c r="B23" s="7"/>
      <c r="C23" s="7"/>
      <c r="D23" s="7"/>
      <c r="E23" s="17">
        <f>SUM(C23:D23)/2</f>
        <v>0</v>
      </c>
      <c r="G23" s="18" t="str">
        <f>IF(E23=0," ",1/E23)</f>
        <v xml:space="preserve"> </v>
      </c>
      <c r="I23" s="55"/>
      <c r="K23" s="55"/>
      <c r="L23" s="55"/>
      <c r="M23" s="55"/>
    </row>
    <row r="24" spans="1:18" x14ac:dyDescent="0.35">
      <c r="K24" s="55"/>
      <c r="L24" s="55"/>
      <c r="M24" s="55"/>
    </row>
    <row r="25" spans="1:18" x14ac:dyDescent="0.35">
      <c r="K25" s="55"/>
    </row>
    <row r="26" spans="1:18" x14ac:dyDescent="0.35">
      <c r="K26" s="5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workbookViewId="0">
      <selection activeCell="O4" sqref="O4"/>
    </sheetView>
  </sheetViews>
  <sheetFormatPr defaultRowHeight="14.5" x14ac:dyDescent="0.35"/>
  <cols>
    <col min="1" max="1" width="26.453125" customWidth="1"/>
    <col min="2" max="2" width="10.26953125" bestFit="1" customWidth="1"/>
    <col min="3" max="3" width="12.453125" customWidth="1"/>
    <col min="4" max="4" width="11.54296875" bestFit="1" customWidth="1"/>
    <col min="5" max="5" width="11.54296875" style="1" bestFit="1" customWidth="1"/>
    <col min="6" max="6" width="4.453125" customWidth="1"/>
    <col min="7" max="7" width="11.54296875" bestFit="1" customWidth="1"/>
    <col min="13" max="13" width="9.81640625" bestFit="1" customWidth="1"/>
  </cols>
  <sheetData>
    <row r="1" spans="1:17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7" ht="15" thickBot="1" x14ac:dyDescent="0.4">
      <c r="A2" s="59">
        <f>('03-06'!A2)+3</f>
        <v>46209</v>
      </c>
      <c r="B2" s="12"/>
      <c r="C2" s="13"/>
      <c r="I2" s="55"/>
    </row>
    <row r="3" spans="1:17" ht="15" thickBot="1" x14ac:dyDescent="0.4">
      <c r="A3" s="5"/>
      <c r="B3" s="5"/>
      <c r="C3" s="5"/>
      <c r="E3" s="11" t="s">
        <v>20</v>
      </c>
      <c r="F3" s="10"/>
      <c r="G3" s="9" t="s">
        <v>21</v>
      </c>
      <c r="I3" s="55"/>
      <c r="K3" s="55"/>
      <c r="L3" s="62"/>
      <c r="M3" s="63"/>
      <c r="N3" s="63"/>
      <c r="O3" s="63"/>
      <c r="P3" s="63"/>
      <c r="Q3" s="64"/>
    </row>
    <row r="4" spans="1:17" ht="15" thickBot="1" x14ac:dyDescent="0.4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  <c r="L4" s="62"/>
      <c r="M4" s="63"/>
      <c r="N4" s="63"/>
      <c r="O4" s="63"/>
      <c r="P4" s="63"/>
      <c r="Q4" s="64"/>
    </row>
    <row r="5" spans="1:17" ht="15" thickBot="1" x14ac:dyDescent="0.4">
      <c r="A5" s="6" t="s">
        <v>27</v>
      </c>
      <c r="B5" s="7" t="s">
        <v>47</v>
      </c>
      <c r="C5" s="7">
        <v>11.3843</v>
      </c>
      <c r="D5" s="7">
        <v>11.3957</v>
      </c>
      <c r="E5" s="15">
        <f t="shared" ref="E5:E17" si="0">SUM(C5:D5)/2</f>
        <v>11.39</v>
      </c>
      <c r="G5" s="16">
        <f>IF(E5=0," ",1/E5)</f>
        <v>8.7796312554872691E-2</v>
      </c>
      <c r="I5" s="55"/>
      <c r="J5" s="55"/>
      <c r="K5" s="55"/>
      <c r="L5" s="62"/>
      <c r="M5" s="63"/>
      <c r="N5" s="63"/>
      <c r="O5" s="63"/>
      <c r="P5" s="63"/>
      <c r="Q5" s="64"/>
    </row>
    <row r="6" spans="1:17" ht="15" thickBot="1" x14ac:dyDescent="0.4">
      <c r="A6" s="6" t="s">
        <v>28</v>
      </c>
      <c r="B6" s="7" t="s">
        <v>48</v>
      </c>
      <c r="C6" s="7">
        <v>15.218500000000001</v>
      </c>
      <c r="D6" s="7">
        <v>15.2349</v>
      </c>
      <c r="E6" s="15">
        <f t="shared" si="0"/>
        <v>15.226700000000001</v>
      </c>
      <c r="G6" s="16">
        <f t="shared" ref="G6:G17" si="1">IF(E6=0," ",1/E6)</f>
        <v>6.5674111921821529E-2</v>
      </c>
      <c r="I6" s="55"/>
      <c r="J6" s="55"/>
      <c r="K6" s="55"/>
      <c r="L6" s="62"/>
      <c r="M6" s="63"/>
      <c r="N6" s="63"/>
      <c r="O6" s="63"/>
      <c r="P6" s="63"/>
      <c r="Q6" s="64"/>
    </row>
    <row r="7" spans="1:17" ht="15" thickBot="1" x14ac:dyDescent="0.4">
      <c r="A7" s="6" t="s">
        <v>29</v>
      </c>
      <c r="B7" s="7" t="s">
        <v>49</v>
      </c>
      <c r="C7" s="7">
        <v>14.1226</v>
      </c>
      <c r="D7" s="7">
        <v>14.135199999999999</v>
      </c>
      <c r="E7" s="17">
        <f t="shared" si="0"/>
        <v>14.1289</v>
      </c>
      <c r="G7" s="18">
        <f t="shared" si="1"/>
        <v>7.0776918231426372E-2</v>
      </c>
      <c r="I7" s="55"/>
      <c r="J7" s="55"/>
      <c r="K7" s="55"/>
      <c r="L7" s="62"/>
      <c r="M7" s="63"/>
      <c r="N7" s="63"/>
      <c r="O7" s="63"/>
      <c r="P7" s="63"/>
      <c r="Q7" s="64"/>
    </row>
    <row r="8" spans="1:17" ht="15" thickBot="1" x14ac:dyDescent="0.4">
      <c r="A8" s="6" t="s">
        <v>30</v>
      </c>
      <c r="B8" s="7" t="s">
        <v>50</v>
      </c>
      <c r="C8" s="7">
        <v>7.9059999999999997</v>
      </c>
      <c r="D8" s="7">
        <v>7.9145000000000003</v>
      </c>
      <c r="E8" s="17">
        <f t="shared" si="0"/>
        <v>7.9102499999999996</v>
      </c>
      <c r="G8" s="18">
        <f t="shared" si="1"/>
        <v>0.12641825479599256</v>
      </c>
      <c r="I8" s="55"/>
      <c r="J8" s="55"/>
      <c r="K8" s="55"/>
      <c r="L8" s="62"/>
      <c r="M8" s="63"/>
      <c r="N8" s="63"/>
      <c r="O8" s="63"/>
      <c r="P8" s="63"/>
      <c r="Q8" s="64"/>
    </row>
    <row r="9" spans="1:17" ht="15" thickBot="1" x14ac:dyDescent="0.4">
      <c r="A9" s="6" t="s">
        <v>31</v>
      </c>
      <c r="B9" s="7" t="s">
        <v>51</v>
      </c>
      <c r="C9" s="7">
        <v>8.0089000000000006</v>
      </c>
      <c r="D9" s="7">
        <v>8.0170999999999992</v>
      </c>
      <c r="E9" s="17">
        <f t="shared" si="0"/>
        <v>8.0129999999999999</v>
      </c>
      <c r="G9" s="18">
        <f t="shared" si="1"/>
        <v>0.12479720454261825</v>
      </c>
      <c r="I9" s="55"/>
      <c r="J9" s="55"/>
      <c r="K9" s="55"/>
      <c r="L9" s="62"/>
      <c r="M9" s="63"/>
      <c r="N9" s="63"/>
      <c r="O9" s="63"/>
      <c r="P9" s="63"/>
      <c r="Q9" s="64"/>
    </row>
    <row r="10" spans="1:17" ht="15" thickBot="1" x14ac:dyDescent="0.4">
      <c r="A10" s="6" t="s">
        <v>32</v>
      </c>
      <c r="B10" s="7" t="s">
        <v>52</v>
      </c>
      <c r="C10" s="7">
        <v>1.7405999999999999</v>
      </c>
      <c r="D10" s="7">
        <v>1.7422</v>
      </c>
      <c r="E10" s="17">
        <f t="shared" si="0"/>
        <v>1.7414000000000001</v>
      </c>
      <c r="G10" s="18">
        <f t="shared" si="1"/>
        <v>0.57425060296313313</v>
      </c>
      <c r="I10" s="55"/>
      <c r="J10" s="55"/>
      <c r="K10" s="55"/>
      <c r="L10" s="62"/>
      <c r="M10" s="63"/>
      <c r="N10" s="63"/>
      <c r="O10" s="63"/>
      <c r="P10" s="63"/>
      <c r="Q10" s="64"/>
    </row>
    <row r="11" spans="1:17" ht="15" thickBot="1" x14ac:dyDescent="0.4">
      <c r="A11" s="6" t="s">
        <v>33</v>
      </c>
      <c r="B11" s="7" t="s">
        <v>53</v>
      </c>
      <c r="C11" s="7">
        <v>7.0099999999999996E-2</v>
      </c>
      <c r="D11" s="7">
        <v>7.0199999999999999E-2</v>
      </c>
      <c r="E11" s="17">
        <f t="shared" si="0"/>
        <v>7.014999999999999E-2</v>
      </c>
      <c r="G11" s="18">
        <f t="shared" si="1"/>
        <v>14.255167498218107</v>
      </c>
      <c r="I11" s="55"/>
      <c r="J11" s="55"/>
      <c r="K11" s="55"/>
      <c r="L11" s="62"/>
      <c r="M11" s="63"/>
      <c r="N11" s="63"/>
      <c r="O11" s="63"/>
      <c r="P11" s="63"/>
      <c r="Q11" s="64"/>
    </row>
    <row r="12" spans="1:17" ht="15" thickBot="1" x14ac:dyDescent="0.4">
      <c r="A12" s="6" t="s">
        <v>34</v>
      </c>
      <c r="B12" s="7" t="s">
        <v>54</v>
      </c>
      <c r="C12" s="7">
        <v>6.4785000000000004</v>
      </c>
      <c r="D12" s="7">
        <v>6.4870000000000001</v>
      </c>
      <c r="E12" s="17">
        <f t="shared" si="0"/>
        <v>6.4827500000000002</v>
      </c>
      <c r="G12" s="18">
        <f t="shared" si="1"/>
        <v>0.15425552427596312</v>
      </c>
      <c r="I12" s="55"/>
      <c r="J12" s="55"/>
      <c r="K12" s="55"/>
      <c r="L12" s="62"/>
      <c r="M12" s="63"/>
      <c r="N12" s="63"/>
      <c r="O12" s="63"/>
      <c r="P12" s="63"/>
      <c r="Q12" s="64"/>
    </row>
    <row r="13" spans="1:17" ht="15" thickBot="1" x14ac:dyDescent="0.4">
      <c r="A13" s="6" t="s">
        <v>35</v>
      </c>
      <c r="B13" s="7" t="s">
        <v>55</v>
      </c>
      <c r="C13" s="7">
        <v>1.1595</v>
      </c>
      <c r="D13" s="7">
        <v>1.1603000000000001</v>
      </c>
      <c r="E13" s="17">
        <f t="shared" si="0"/>
        <v>1.1598999999999999</v>
      </c>
      <c r="G13" s="18">
        <f t="shared" si="1"/>
        <v>0.86214328821450126</v>
      </c>
      <c r="I13" s="55"/>
      <c r="J13" s="55"/>
      <c r="K13" s="55"/>
      <c r="L13" s="62"/>
      <c r="M13" s="63"/>
      <c r="N13" s="63"/>
      <c r="O13" s="63"/>
      <c r="P13" s="63"/>
      <c r="Q13" s="64"/>
    </row>
    <row r="14" spans="1:17" ht="15" thickBot="1" x14ac:dyDescent="0.4">
      <c r="A14" s="6" t="s">
        <v>36</v>
      </c>
      <c r="B14" s="7" t="s">
        <v>56</v>
      </c>
      <c r="C14" s="7">
        <v>1.1806000000000001</v>
      </c>
      <c r="D14" s="7">
        <v>1.1815</v>
      </c>
      <c r="E14" s="17">
        <f t="shared" si="0"/>
        <v>1.1810499999999999</v>
      </c>
      <c r="G14" s="18">
        <f t="shared" si="1"/>
        <v>0.84670420388637235</v>
      </c>
      <c r="I14" s="55"/>
      <c r="J14" s="55"/>
      <c r="K14" s="55"/>
      <c r="L14" s="62"/>
      <c r="M14" s="63"/>
      <c r="N14" s="63"/>
      <c r="O14" s="63"/>
      <c r="P14" s="63"/>
      <c r="Q14" s="64"/>
    </row>
    <row r="15" spans="1:17" ht="15" thickBot="1" x14ac:dyDescent="0.4">
      <c r="A15" s="6" t="s">
        <v>37</v>
      </c>
      <c r="B15" s="7" t="s">
        <v>57</v>
      </c>
      <c r="C15" s="7">
        <v>0.70179999999999998</v>
      </c>
      <c r="D15" s="7">
        <v>0.70230000000000004</v>
      </c>
      <c r="E15" s="17">
        <f t="shared" si="0"/>
        <v>0.70205000000000006</v>
      </c>
      <c r="G15" s="18">
        <f t="shared" si="1"/>
        <v>1.4243999715120004</v>
      </c>
      <c r="I15" s="55"/>
      <c r="J15" s="55"/>
      <c r="K15" s="55"/>
      <c r="L15" s="62"/>
      <c r="M15" s="63"/>
      <c r="N15" s="63"/>
      <c r="O15" s="63"/>
      <c r="P15" s="63"/>
      <c r="Q15" s="64"/>
    </row>
    <row r="16" spans="1:17" ht="15" thickBot="1" x14ac:dyDescent="0.4">
      <c r="A16" s="6" t="s">
        <v>38</v>
      </c>
      <c r="B16" s="7" t="s">
        <v>58</v>
      </c>
      <c r="C16" s="7">
        <v>13.009499999999999</v>
      </c>
      <c r="D16" s="7">
        <v>13.022399999999999</v>
      </c>
      <c r="E16" s="15">
        <f t="shared" si="0"/>
        <v>13.01595</v>
      </c>
      <c r="G16" s="16">
        <f t="shared" si="1"/>
        <v>7.6828813878356939E-2</v>
      </c>
      <c r="I16" s="55"/>
      <c r="J16" s="55"/>
      <c r="K16" s="55"/>
      <c r="L16" s="62"/>
      <c r="M16" s="63"/>
      <c r="N16" s="63"/>
      <c r="O16" s="63"/>
      <c r="P16" s="63"/>
      <c r="Q16" s="64"/>
    </row>
    <row r="17" spans="1:17" ht="15" thickBot="1" x14ac:dyDescent="0.4">
      <c r="A17" s="6" t="s">
        <v>39</v>
      </c>
      <c r="B17" s="7" t="s">
        <v>59</v>
      </c>
      <c r="C17" s="7">
        <v>1.6758</v>
      </c>
      <c r="D17" s="7">
        <v>1.6772</v>
      </c>
      <c r="E17" s="17">
        <f t="shared" si="0"/>
        <v>1.6764999999999999</v>
      </c>
      <c r="G17" s="18">
        <f t="shared" si="1"/>
        <v>0.59648076349537726</v>
      </c>
      <c r="I17" s="55"/>
      <c r="J17" s="55"/>
      <c r="K17" s="55"/>
      <c r="L17" s="62"/>
      <c r="M17" s="63"/>
      <c r="N17" s="63"/>
      <c r="O17" s="63"/>
      <c r="P17" s="63"/>
      <c r="Q17" s="64"/>
    </row>
    <row r="18" spans="1:17" ht="15" thickBot="1" x14ac:dyDescent="0.4">
      <c r="A18" s="6" t="s">
        <v>40</v>
      </c>
      <c r="B18" s="7" t="s">
        <v>60</v>
      </c>
      <c r="C18" s="7">
        <v>50.371400000000001</v>
      </c>
      <c r="D18" s="7">
        <v>50.421399999999998</v>
      </c>
      <c r="E18" s="19">
        <f>IF(G18=0," ",1/G18)</f>
        <v>1.9842687176068134E-2</v>
      </c>
      <c r="G18" s="20">
        <f>SUM(C18:D18)/2</f>
        <v>50.3964</v>
      </c>
      <c r="I18" s="55"/>
      <c r="J18" s="55"/>
      <c r="K18" s="55"/>
      <c r="L18" s="62"/>
      <c r="M18" s="63"/>
      <c r="N18" s="63"/>
      <c r="O18" s="63"/>
      <c r="P18" s="63"/>
      <c r="Q18" s="64"/>
    </row>
    <row r="19" spans="1:17" ht="15" thickBot="1" x14ac:dyDescent="0.4">
      <c r="A19" s="6" t="s">
        <v>41</v>
      </c>
      <c r="B19" s="7" t="s">
        <v>61</v>
      </c>
      <c r="C19" s="7">
        <v>6.3685</v>
      </c>
      <c r="D19" s="7">
        <v>6.4631999999999996</v>
      </c>
      <c r="E19" s="21">
        <f>IF(G19=0," ",1/G19)</f>
        <v>0.15586399307963872</v>
      </c>
      <c r="G19" s="22">
        <f>SUM(C19:D19)/2</f>
        <v>6.4158499999999998</v>
      </c>
      <c r="I19" s="55"/>
      <c r="J19" s="55"/>
      <c r="K19" s="55"/>
      <c r="L19" s="62"/>
      <c r="M19" s="63"/>
      <c r="N19" s="63"/>
      <c r="O19" s="63"/>
      <c r="P19" s="63"/>
      <c r="Q19" s="64"/>
    </row>
    <row r="20" spans="1:17" ht="15" thickBot="1" x14ac:dyDescent="0.4">
      <c r="A20" s="6" t="s">
        <v>42</v>
      </c>
      <c r="B20" s="7" t="s">
        <v>62</v>
      </c>
      <c r="C20" s="7">
        <v>31.343299999999999</v>
      </c>
      <c r="D20" s="7">
        <v>31.431100000000001</v>
      </c>
      <c r="E20" s="21">
        <f>IF(G20=0," ",1/G20)</f>
        <v>3.1860121323341997E-2</v>
      </c>
      <c r="G20" s="22">
        <f>SUM(C20:D20)/2</f>
        <v>31.3872</v>
      </c>
      <c r="I20" s="55"/>
      <c r="J20" s="55"/>
      <c r="K20" s="55"/>
      <c r="L20" s="62"/>
      <c r="M20" s="63"/>
      <c r="N20" s="63"/>
      <c r="O20" s="63"/>
      <c r="P20" s="63"/>
      <c r="Q20" s="64"/>
    </row>
    <row r="21" spans="1:17" ht="15" thickBot="1" x14ac:dyDescent="0.4">
      <c r="A21" s="6" t="s">
        <v>43</v>
      </c>
      <c r="B21" s="7" t="s">
        <v>63</v>
      </c>
      <c r="C21" s="7">
        <v>120.11239999999999</v>
      </c>
      <c r="D21" s="7">
        <v>120.3933</v>
      </c>
      <c r="E21" s="21">
        <f>IF(G21=0," ",1/G21)</f>
        <v>8.3158112260956814E-3</v>
      </c>
      <c r="G21" s="22">
        <f>SUM(C21:D21)/2</f>
        <v>120.25285</v>
      </c>
      <c r="I21" s="55"/>
      <c r="J21" s="55"/>
      <c r="K21" s="55"/>
      <c r="L21" s="65"/>
      <c r="M21" s="66"/>
      <c r="N21" s="66"/>
      <c r="O21" s="66"/>
      <c r="P21" s="66"/>
      <c r="Q21" s="67"/>
    </row>
    <row r="22" spans="1:17" x14ac:dyDescent="0.35">
      <c r="A22" s="6" t="s">
        <v>44</v>
      </c>
      <c r="B22" s="7" t="s">
        <v>64</v>
      </c>
      <c r="C22" s="7">
        <v>2089.8341</v>
      </c>
      <c r="D22" s="7">
        <v>2144.3944000000001</v>
      </c>
      <c r="E22" s="23">
        <f>IF(G22=0," ",1/G22)</f>
        <v>4.7234106520231488E-4</v>
      </c>
      <c r="G22" s="24">
        <f>SUM(C22:D22)/2</f>
        <v>2117.1142500000001</v>
      </c>
      <c r="J22" s="55"/>
      <c r="K22" s="55"/>
      <c r="L22" s="55"/>
      <c r="M22" s="55"/>
      <c r="N22" s="56"/>
      <c r="O22" s="56"/>
      <c r="P22" s="56"/>
      <c r="Q22" s="56"/>
    </row>
    <row r="23" spans="1:17" x14ac:dyDescent="0.35">
      <c r="A23" s="6" t="s">
        <v>45</v>
      </c>
      <c r="B23" s="7" t="s">
        <v>65</v>
      </c>
      <c r="C23" s="7">
        <v>1.3100000000000001E-2</v>
      </c>
      <c r="D23" s="7">
        <v>1.3100000000000001E-2</v>
      </c>
      <c r="E23" s="17">
        <f>SUM(C23:D23)/2</f>
        <v>1.3100000000000001E-2</v>
      </c>
      <c r="G23" s="18">
        <f>IF(E23=0," ",1/E23)</f>
        <v>76.33587786259541</v>
      </c>
      <c r="J23" s="55"/>
      <c r="K23" s="55"/>
      <c r="L23" s="55"/>
      <c r="M23" s="55"/>
      <c r="N23" s="56"/>
      <c r="O23" s="56"/>
    </row>
    <row r="24" spans="1:17" x14ac:dyDescent="0.35">
      <c r="J24" s="55"/>
      <c r="K24" s="55"/>
      <c r="L24" s="55"/>
      <c r="M24" s="55"/>
    </row>
    <row r="25" spans="1:17" x14ac:dyDescent="0.35">
      <c r="K25" s="55"/>
      <c r="L25" s="55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>
      <selection activeCell="B2" sqref="B2"/>
    </sheetView>
  </sheetViews>
  <sheetFormatPr defaultRowHeight="14.5" x14ac:dyDescent="0.35"/>
  <cols>
    <col min="1" max="1" width="26.7265625" bestFit="1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4.453125" customWidth="1"/>
    <col min="7" max="7" width="11.54296875" bestFit="1" customWidth="1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('06-07'!A2)+1</f>
        <v>46210</v>
      </c>
      <c r="B2" s="12"/>
      <c r="C2" s="13"/>
      <c r="I2" s="55"/>
    </row>
    <row r="3" spans="1:14" x14ac:dyDescent="0.35">
      <c r="A3" s="5"/>
      <c r="B3" s="5"/>
      <c r="C3" s="5"/>
      <c r="E3" s="11" t="s">
        <v>20</v>
      </c>
      <c r="F3" s="10"/>
      <c r="G3" s="9" t="s">
        <v>21</v>
      </c>
      <c r="I3" s="55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</row>
    <row r="5" spans="1:14" x14ac:dyDescent="0.35">
      <c r="A5" s="6" t="s">
        <v>27</v>
      </c>
      <c r="B5" s="7" t="s">
        <v>47</v>
      </c>
      <c r="C5" s="7">
        <v>11.4213</v>
      </c>
      <c r="D5" s="7">
        <v>11.432700000000001</v>
      </c>
      <c r="E5" s="15">
        <f t="shared" ref="E5:E17" si="0">SUM(C5:D5)/2</f>
        <v>11.427</v>
      </c>
      <c r="G5" s="16">
        <f>IF(E5=0," ",1/E5)</f>
        <v>8.7512032904524376E-2</v>
      </c>
      <c r="I5" s="55"/>
      <c r="J5" s="55"/>
      <c r="K5" s="55"/>
      <c r="L5" s="55"/>
      <c r="M5" s="55"/>
    </row>
    <row r="6" spans="1:14" x14ac:dyDescent="0.35">
      <c r="A6" s="6" t="s">
        <v>28</v>
      </c>
      <c r="B6" s="7" t="s">
        <v>48</v>
      </c>
      <c r="C6" s="7">
        <v>15.270300000000001</v>
      </c>
      <c r="D6" s="7">
        <v>15.2867</v>
      </c>
      <c r="E6" s="15">
        <f t="shared" si="0"/>
        <v>15.278500000000001</v>
      </c>
      <c r="G6" s="16">
        <f t="shared" ref="G6:G17" si="1">IF(E6=0," ",1/E6)</f>
        <v>6.5451451385934473E-2</v>
      </c>
      <c r="I6" s="55"/>
      <c r="J6" s="55"/>
      <c r="K6" s="55"/>
      <c r="L6" s="55"/>
      <c r="M6" s="55"/>
      <c r="N6" s="55"/>
    </row>
    <row r="7" spans="1:14" x14ac:dyDescent="0.35">
      <c r="A7" s="6" t="s">
        <v>29</v>
      </c>
      <c r="B7" s="7" t="s">
        <v>49</v>
      </c>
      <c r="C7" s="7">
        <v>14.1549</v>
      </c>
      <c r="D7" s="7">
        <v>14.1675</v>
      </c>
      <c r="E7" s="17">
        <f t="shared" si="0"/>
        <v>14.161200000000001</v>
      </c>
      <c r="G7" s="18">
        <f t="shared" si="1"/>
        <v>7.0615484563455067E-2</v>
      </c>
      <c r="I7" s="55"/>
      <c r="J7" s="55"/>
      <c r="K7" s="55"/>
      <c r="L7" s="55"/>
      <c r="M7" s="55"/>
      <c r="N7" s="55"/>
    </row>
    <row r="8" spans="1:14" x14ac:dyDescent="0.35">
      <c r="A8" s="6" t="s">
        <v>30</v>
      </c>
      <c r="B8" s="7" t="s">
        <v>50</v>
      </c>
      <c r="C8" s="7">
        <v>7.9207000000000001</v>
      </c>
      <c r="D8" s="7">
        <v>7.9306999999999999</v>
      </c>
      <c r="E8" s="17">
        <f t="shared" si="0"/>
        <v>7.9257</v>
      </c>
      <c r="G8" s="18">
        <f t="shared" si="1"/>
        <v>0.12617182078554576</v>
      </c>
      <c r="I8" s="55"/>
      <c r="J8" s="55"/>
      <c r="K8" s="55"/>
      <c r="L8" s="55"/>
      <c r="M8" s="55"/>
      <c r="N8" s="55"/>
    </row>
    <row r="9" spans="1:14" x14ac:dyDescent="0.35">
      <c r="A9" s="6" t="s">
        <v>31</v>
      </c>
      <c r="B9" s="7" t="s">
        <v>51</v>
      </c>
      <c r="C9" s="7">
        <v>8.0488</v>
      </c>
      <c r="D9" s="7">
        <v>8.0565999999999995</v>
      </c>
      <c r="E9" s="17">
        <f t="shared" si="0"/>
        <v>8.0526999999999997</v>
      </c>
      <c r="G9" s="18">
        <f t="shared" si="1"/>
        <v>0.12418195139518423</v>
      </c>
      <c r="I9" s="55"/>
      <c r="J9" s="55"/>
      <c r="K9" s="55"/>
      <c r="L9" s="55"/>
      <c r="M9" s="55"/>
      <c r="N9" s="55"/>
    </row>
    <row r="10" spans="1:14" x14ac:dyDescent="0.35">
      <c r="A10" s="6" t="s">
        <v>32</v>
      </c>
      <c r="B10" s="7" t="s">
        <v>52</v>
      </c>
      <c r="C10" s="7">
        <v>1.7453000000000001</v>
      </c>
      <c r="D10" s="7">
        <v>1.7468999999999999</v>
      </c>
      <c r="E10" s="17">
        <f t="shared" si="0"/>
        <v>1.7461</v>
      </c>
      <c r="G10" s="18">
        <f t="shared" si="1"/>
        <v>0.57270488517267049</v>
      </c>
      <c r="I10" s="55"/>
      <c r="J10" s="55"/>
      <c r="K10" s="55"/>
      <c r="L10" s="55"/>
      <c r="M10" s="55"/>
      <c r="N10" s="55"/>
    </row>
    <row r="11" spans="1:14" x14ac:dyDescent="0.35">
      <c r="A11" s="6" t="s">
        <v>33</v>
      </c>
      <c r="B11" s="7" t="s">
        <v>53</v>
      </c>
      <c r="C11" s="7">
        <v>7.0499999999999993E-2</v>
      </c>
      <c r="D11" s="7">
        <v>7.0599999999999996E-2</v>
      </c>
      <c r="E11" s="17">
        <f t="shared" si="0"/>
        <v>7.0550000000000002E-2</v>
      </c>
      <c r="G11" s="18">
        <f t="shared" si="1"/>
        <v>14.174344436569807</v>
      </c>
      <c r="I11" s="55"/>
      <c r="J11" s="55"/>
      <c r="K11" s="55"/>
      <c r="L11" s="55"/>
      <c r="M11" s="55"/>
      <c r="N11" s="55"/>
    </row>
    <row r="12" spans="1:14" x14ac:dyDescent="0.35">
      <c r="A12" s="6" t="s">
        <v>34</v>
      </c>
      <c r="B12" s="7" t="s">
        <v>54</v>
      </c>
      <c r="C12" s="7">
        <v>6.4913999999999996</v>
      </c>
      <c r="D12" s="7">
        <v>6.5014000000000003</v>
      </c>
      <c r="E12" s="17">
        <f t="shared" si="0"/>
        <v>6.4963999999999995</v>
      </c>
      <c r="G12" s="18">
        <f t="shared" si="1"/>
        <v>0.15393140816452189</v>
      </c>
      <c r="I12" s="55"/>
      <c r="J12" s="55"/>
      <c r="K12" s="55"/>
      <c r="L12" s="55"/>
      <c r="M12" s="55"/>
      <c r="N12" s="55"/>
    </row>
    <row r="13" spans="1:14" x14ac:dyDescent="0.35">
      <c r="A13" s="6" t="s">
        <v>35</v>
      </c>
      <c r="B13" s="7" t="s">
        <v>55</v>
      </c>
      <c r="C13" s="7">
        <v>1.1659999999999999</v>
      </c>
      <c r="D13" s="7">
        <v>1.1668000000000001</v>
      </c>
      <c r="E13" s="17">
        <f t="shared" si="0"/>
        <v>1.1663999999999999</v>
      </c>
      <c r="G13" s="18">
        <f t="shared" si="1"/>
        <v>0.85733882030178332</v>
      </c>
      <c r="I13" s="55"/>
      <c r="J13" s="55"/>
      <c r="K13" s="55"/>
      <c r="L13" s="55"/>
      <c r="M13" s="55"/>
      <c r="N13" s="55"/>
    </row>
    <row r="14" spans="1:14" x14ac:dyDescent="0.35">
      <c r="A14" s="6" t="s">
        <v>36</v>
      </c>
      <c r="B14" s="7" t="s">
        <v>56</v>
      </c>
      <c r="C14" s="7">
        <v>1.1807000000000001</v>
      </c>
      <c r="D14" s="7">
        <v>1.1816</v>
      </c>
      <c r="E14" s="17">
        <f t="shared" si="0"/>
        <v>1.1811500000000001</v>
      </c>
      <c r="G14" s="18">
        <f t="shared" si="1"/>
        <v>0.84663251915506066</v>
      </c>
      <c r="I14" s="55"/>
      <c r="J14" s="55"/>
      <c r="K14" s="55"/>
      <c r="L14" s="55"/>
      <c r="M14" s="55"/>
      <c r="N14" s="55"/>
    </row>
    <row r="15" spans="1:14" x14ac:dyDescent="0.35">
      <c r="A15" s="6" t="s">
        <v>37</v>
      </c>
      <c r="B15" s="7" t="s">
        <v>57</v>
      </c>
      <c r="C15" s="7">
        <v>0.70309999999999995</v>
      </c>
      <c r="D15" s="7">
        <v>0.7036</v>
      </c>
      <c r="E15" s="17">
        <f t="shared" si="0"/>
        <v>0.70334999999999992</v>
      </c>
      <c r="G15" s="18">
        <f t="shared" si="1"/>
        <v>1.4217672567000783</v>
      </c>
      <c r="I15" s="55"/>
      <c r="J15" s="55"/>
      <c r="K15" s="55"/>
      <c r="L15" s="55"/>
      <c r="M15" s="55"/>
      <c r="N15" s="55"/>
    </row>
    <row r="16" spans="1:14" x14ac:dyDescent="0.35">
      <c r="A16" s="6" t="s">
        <v>38</v>
      </c>
      <c r="B16" s="7" t="s">
        <v>58</v>
      </c>
      <c r="C16" s="7">
        <v>13.0459</v>
      </c>
      <c r="D16" s="7">
        <v>13.057700000000001</v>
      </c>
      <c r="E16" s="15">
        <f t="shared" si="0"/>
        <v>13.0518</v>
      </c>
      <c r="G16" s="16">
        <f t="shared" si="1"/>
        <v>7.6617784520142812E-2</v>
      </c>
      <c r="I16" s="55"/>
      <c r="J16" s="55"/>
      <c r="K16" s="55"/>
      <c r="L16" s="55"/>
      <c r="M16" s="55"/>
      <c r="N16" s="55"/>
    </row>
    <row r="17" spans="1:16" x14ac:dyDescent="0.35">
      <c r="A17" s="6" t="s">
        <v>39</v>
      </c>
      <c r="B17" s="7" t="s">
        <v>59</v>
      </c>
      <c r="C17" s="7">
        <v>1.681</v>
      </c>
      <c r="D17" s="7">
        <v>1.6819</v>
      </c>
      <c r="E17" s="17">
        <f t="shared" si="0"/>
        <v>1.6814499999999999</v>
      </c>
      <c r="G17" s="18">
        <f t="shared" si="1"/>
        <v>0.59472479110291721</v>
      </c>
      <c r="I17" s="55"/>
      <c r="J17" s="55"/>
      <c r="K17" s="55"/>
      <c r="L17" s="55"/>
      <c r="M17" s="55"/>
      <c r="N17" s="55"/>
    </row>
    <row r="18" spans="1:16" x14ac:dyDescent="0.35">
      <c r="A18" s="6" t="s">
        <v>40</v>
      </c>
      <c r="B18" s="7" t="s">
        <v>60</v>
      </c>
      <c r="C18" s="7">
        <v>50.235300000000002</v>
      </c>
      <c r="D18" s="7">
        <v>50.280700000000003</v>
      </c>
      <c r="E18" s="19">
        <f>IF(G18=0," ",1/G18)</f>
        <v>1.9897329778343745E-2</v>
      </c>
      <c r="G18" s="20">
        <f>SUM(C18:D18)/2</f>
        <v>50.258000000000003</v>
      </c>
      <c r="I18" s="55"/>
      <c r="J18" s="55"/>
      <c r="K18" s="55"/>
      <c r="L18" s="55"/>
      <c r="M18" s="55"/>
      <c r="N18" s="55"/>
    </row>
    <row r="19" spans="1:16" x14ac:dyDescent="0.35">
      <c r="A19" s="6" t="s">
        <v>41</v>
      </c>
      <c r="B19" s="7" t="s">
        <v>61</v>
      </c>
      <c r="C19" s="7">
        <v>6.3643000000000001</v>
      </c>
      <c r="D19" s="7">
        <v>6.3655999999999997</v>
      </c>
      <c r="E19" s="21">
        <f>IF(G19=0," ",1/G19)</f>
        <v>0.157110425062255</v>
      </c>
      <c r="G19" s="22">
        <f>SUM(C19:D19)/2</f>
        <v>6.3649500000000003</v>
      </c>
      <c r="I19" s="55"/>
      <c r="J19" s="55"/>
      <c r="K19" s="55"/>
      <c r="L19" s="56"/>
      <c r="M19" s="56"/>
      <c r="N19" s="56"/>
    </row>
    <row r="20" spans="1:16" x14ac:dyDescent="0.35">
      <c r="A20" s="6" t="s">
        <v>42</v>
      </c>
      <c r="B20" s="7" t="s">
        <v>62</v>
      </c>
      <c r="C20" s="7">
        <v>31.241800000000001</v>
      </c>
      <c r="D20" s="7">
        <v>31.3293</v>
      </c>
      <c r="E20" s="21">
        <f>IF(G20=0," ",1/G20)</f>
        <v>3.196363816522324E-2</v>
      </c>
      <c r="G20" s="22">
        <f>SUM(C20:D20)/2</f>
        <v>31.285550000000001</v>
      </c>
      <c r="I20" s="55"/>
      <c r="J20" s="55"/>
      <c r="K20" s="55"/>
      <c r="L20" s="56"/>
      <c r="M20" s="56"/>
      <c r="N20" s="56"/>
    </row>
    <row r="21" spans="1:16" x14ac:dyDescent="0.35">
      <c r="A21" s="6" t="s">
        <v>43</v>
      </c>
      <c r="B21" s="7" t="s">
        <v>63</v>
      </c>
      <c r="C21" s="7">
        <v>119.99039999999999</v>
      </c>
      <c r="D21" s="7">
        <v>120.1426</v>
      </c>
      <c r="E21" s="21">
        <f>IF(G21=0," ",1/G21)</f>
        <v>8.328717835532809E-3</v>
      </c>
      <c r="G21" s="22">
        <f>SUM(C21:D21)/2</f>
        <v>120.06649999999999</v>
      </c>
      <c r="I21" s="55"/>
      <c r="J21" s="55"/>
      <c r="K21" s="55"/>
      <c r="L21" s="56"/>
      <c r="M21" s="56"/>
      <c r="N21" s="56"/>
      <c r="O21" s="56"/>
      <c r="P21" s="56"/>
    </row>
    <row r="22" spans="1:16" x14ac:dyDescent="0.35">
      <c r="A22" s="6" t="s">
        <v>44</v>
      </c>
      <c r="B22" s="7" t="s">
        <v>64</v>
      </c>
      <c r="C22" s="7">
        <v>2083.0752000000002</v>
      </c>
      <c r="D22" s="7">
        <v>2134.4185000000002</v>
      </c>
      <c r="E22" s="23">
        <f>IF(G22=0," ",1/G22)</f>
        <v>4.7421529046978765E-4</v>
      </c>
      <c r="G22" s="24">
        <f>SUM(C22:D22)/2</f>
        <v>2108.7468500000004</v>
      </c>
      <c r="I22" s="55"/>
      <c r="J22" s="55"/>
      <c r="K22" s="55"/>
      <c r="L22" s="55"/>
      <c r="M22" s="55"/>
      <c r="N22" s="55"/>
    </row>
    <row r="23" spans="1:16" x14ac:dyDescent="0.35">
      <c r="A23" s="6" t="s">
        <v>45</v>
      </c>
      <c r="B23" s="7" t="s">
        <v>65</v>
      </c>
      <c r="C23" s="7">
        <v>1.3100000000000001E-2</v>
      </c>
      <c r="D23" s="7">
        <v>1.3100000000000001E-2</v>
      </c>
      <c r="E23" s="17">
        <f>SUM(C23:D23)/2</f>
        <v>1.3100000000000001E-2</v>
      </c>
      <c r="G23" s="18">
        <f>IF(E23=0," ",1/E23)</f>
        <v>76.33587786259541</v>
      </c>
      <c r="J23" s="55"/>
      <c r="K23" s="55"/>
      <c r="L23" s="55"/>
      <c r="M23" s="55"/>
      <c r="N23" s="55"/>
    </row>
    <row r="24" spans="1:16" x14ac:dyDescent="0.35">
      <c r="J24" s="55"/>
      <c r="K24" s="55"/>
      <c r="L24" s="55"/>
      <c r="M24" s="55"/>
      <c r="N24" s="55"/>
    </row>
    <row r="25" spans="1:16" x14ac:dyDescent="0.35">
      <c r="J25" s="55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6"/>
  <sheetViews>
    <sheetView workbookViewId="0">
      <selection activeCell="A2" sqref="A2"/>
    </sheetView>
  </sheetViews>
  <sheetFormatPr defaultRowHeight="14.5" x14ac:dyDescent="0.35"/>
  <cols>
    <col min="1" max="1" width="27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4.1796875" customWidth="1"/>
    <col min="7" max="7" width="11.54296875" bestFit="1" customWidth="1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('07-07'!A2)+1</f>
        <v>46211</v>
      </c>
      <c r="B2" s="12"/>
      <c r="C2" s="13"/>
      <c r="I2" s="55"/>
    </row>
    <row r="3" spans="1:14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  <c r="L3" s="55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L4" s="55"/>
    </row>
    <row r="5" spans="1:14" x14ac:dyDescent="0.35">
      <c r="A5" s="6" t="s">
        <v>27</v>
      </c>
      <c r="B5" s="7"/>
      <c r="C5" s="7"/>
      <c r="D5" s="7"/>
      <c r="E5" s="15">
        <f t="shared" ref="E5:E17" si="0">SUM(C5:D5)/2</f>
        <v>0</v>
      </c>
      <c r="G5" s="16" t="str">
        <f>IF(E5=0," ",1/E5)</f>
        <v xml:space="preserve"> </v>
      </c>
      <c r="I5" s="55"/>
      <c r="J5" s="55"/>
      <c r="K5" s="55"/>
      <c r="L5" s="55"/>
      <c r="M5" s="55"/>
      <c r="N5" s="55"/>
    </row>
    <row r="6" spans="1:14" x14ac:dyDescent="0.35">
      <c r="A6" s="6" t="s">
        <v>28</v>
      </c>
      <c r="B6" s="7"/>
      <c r="C6" s="7"/>
      <c r="D6" s="7"/>
      <c r="E6" s="15">
        <f t="shared" si="0"/>
        <v>0</v>
      </c>
      <c r="G6" s="16" t="str">
        <f t="shared" ref="G6:G17" si="1">IF(E6=0," ",1/E6)</f>
        <v xml:space="preserve"> </v>
      </c>
      <c r="I6" s="55"/>
      <c r="J6" s="55"/>
      <c r="K6" s="55"/>
      <c r="L6" s="55"/>
      <c r="M6" s="55"/>
      <c r="N6" s="55"/>
    </row>
    <row r="7" spans="1:14" x14ac:dyDescent="0.35">
      <c r="A7" s="6" t="s">
        <v>29</v>
      </c>
      <c r="B7" s="7"/>
      <c r="C7" s="7"/>
      <c r="D7" s="7"/>
      <c r="E7" s="17">
        <f t="shared" si="0"/>
        <v>0</v>
      </c>
      <c r="G7" s="18" t="str">
        <f t="shared" si="1"/>
        <v xml:space="preserve"> </v>
      </c>
      <c r="I7" s="55"/>
      <c r="J7" s="55"/>
      <c r="K7" s="55"/>
      <c r="L7" s="55"/>
      <c r="M7" s="55"/>
      <c r="N7" s="55"/>
    </row>
    <row r="8" spans="1:14" x14ac:dyDescent="0.35">
      <c r="A8" s="6" t="s">
        <v>30</v>
      </c>
      <c r="B8" s="7"/>
      <c r="C8" s="7"/>
      <c r="D8" s="7"/>
      <c r="E8" s="17">
        <f t="shared" si="0"/>
        <v>0</v>
      </c>
      <c r="G8" s="18" t="str">
        <f t="shared" si="1"/>
        <v xml:space="preserve"> </v>
      </c>
      <c r="I8" s="55"/>
      <c r="J8" s="55"/>
      <c r="K8" s="55"/>
      <c r="L8" s="55"/>
      <c r="M8" s="55"/>
      <c r="N8" s="55"/>
    </row>
    <row r="9" spans="1:14" x14ac:dyDescent="0.35">
      <c r="A9" s="6" t="s">
        <v>31</v>
      </c>
      <c r="B9" s="7"/>
      <c r="C9" s="7"/>
      <c r="D9" s="7"/>
      <c r="E9" s="17">
        <f t="shared" si="0"/>
        <v>0</v>
      </c>
      <c r="G9" s="18" t="str">
        <f t="shared" si="1"/>
        <v xml:space="preserve"> </v>
      </c>
      <c r="I9" s="55"/>
      <c r="J9" s="55"/>
      <c r="K9" s="55"/>
      <c r="L9" s="55"/>
      <c r="M9" s="55"/>
      <c r="N9" s="55"/>
    </row>
    <row r="10" spans="1:14" x14ac:dyDescent="0.35">
      <c r="A10" s="6" t="s">
        <v>32</v>
      </c>
      <c r="B10" s="7"/>
      <c r="C10" s="7"/>
      <c r="D10" s="7"/>
      <c r="E10" s="17">
        <f t="shared" si="0"/>
        <v>0</v>
      </c>
      <c r="G10" s="18" t="str">
        <f t="shared" si="1"/>
        <v xml:space="preserve"> </v>
      </c>
      <c r="I10" s="55"/>
      <c r="J10" s="55"/>
      <c r="K10" s="55"/>
      <c r="L10" s="55"/>
      <c r="M10" s="55"/>
      <c r="N10" s="55"/>
    </row>
    <row r="11" spans="1:14" x14ac:dyDescent="0.35">
      <c r="A11" s="6" t="s">
        <v>33</v>
      </c>
      <c r="B11" s="7"/>
      <c r="C11" s="7"/>
      <c r="D11" s="7"/>
      <c r="E11" s="17">
        <f t="shared" si="0"/>
        <v>0</v>
      </c>
      <c r="G11" s="18" t="str">
        <f t="shared" si="1"/>
        <v xml:space="preserve"> </v>
      </c>
      <c r="I11" s="55"/>
      <c r="J11" s="55"/>
      <c r="K11" s="55"/>
      <c r="L11" s="55"/>
      <c r="M11" s="55"/>
      <c r="N11" s="55"/>
    </row>
    <row r="12" spans="1:14" x14ac:dyDescent="0.35">
      <c r="A12" s="6" t="s">
        <v>34</v>
      </c>
      <c r="B12" s="7"/>
      <c r="C12" s="7"/>
      <c r="D12" s="7"/>
      <c r="E12" s="17">
        <f t="shared" si="0"/>
        <v>0</v>
      </c>
      <c r="G12" s="18" t="str">
        <f t="shared" si="1"/>
        <v xml:space="preserve"> </v>
      </c>
      <c r="I12" s="55"/>
      <c r="J12" s="55"/>
      <c r="K12" s="55"/>
      <c r="L12" s="55"/>
      <c r="M12" s="55"/>
      <c r="N12" s="55"/>
    </row>
    <row r="13" spans="1:14" x14ac:dyDescent="0.35">
      <c r="A13" s="6" t="s">
        <v>35</v>
      </c>
      <c r="B13" s="7"/>
      <c r="C13" s="7"/>
      <c r="D13" s="7"/>
      <c r="E13" s="17">
        <f t="shared" si="0"/>
        <v>0</v>
      </c>
      <c r="G13" s="18" t="str">
        <f t="shared" si="1"/>
        <v xml:space="preserve"> </v>
      </c>
      <c r="I13" s="55"/>
      <c r="J13" s="55"/>
      <c r="K13" s="55"/>
      <c r="L13" s="55"/>
      <c r="M13" s="55"/>
      <c r="N13" s="55"/>
    </row>
    <row r="14" spans="1:14" x14ac:dyDescent="0.35">
      <c r="A14" s="6" t="s">
        <v>36</v>
      </c>
      <c r="B14" s="7"/>
      <c r="C14" s="7"/>
      <c r="D14" s="7"/>
      <c r="E14" s="17">
        <f t="shared" si="0"/>
        <v>0</v>
      </c>
      <c r="G14" s="18" t="str">
        <f t="shared" si="1"/>
        <v xml:space="preserve"> </v>
      </c>
      <c r="I14" s="55"/>
      <c r="J14" s="55"/>
      <c r="K14" s="55"/>
      <c r="L14" s="55"/>
      <c r="M14" s="55"/>
      <c r="N14" s="55"/>
    </row>
    <row r="15" spans="1:14" x14ac:dyDescent="0.35">
      <c r="A15" s="6" t="s">
        <v>37</v>
      </c>
      <c r="B15" s="7"/>
      <c r="C15" s="7"/>
      <c r="D15" s="7"/>
      <c r="E15" s="17">
        <f t="shared" si="0"/>
        <v>0</v>
      </c>
      <c r="G15" s="18" t="str">
        <f t="shared" si="1"/>
        <v xml:space="preserve"> </v>
      </c>
      <c r="I15" s="55"/>
      <c r="J15" s="55"/>
      <c r="K15" s="55"/>
      <c r="L15" s="55"/>
      <c r="M15" s="55"/>
      <c r="N15" s="55"/>
    </row>
    <row r="16" spans="1:14" x14ac:dyDescent="0.35">
      <c r="A16" s="6" t="s">
        <v>38</v>
      </c>
      <c r="B16" s="7"/>
      <c r="C16" s="7"/>
      <c r="D16" s="7"/>
      <c r="E16" s="15">
        <f t="shared" si="0"/>
        <v>0</v>
      </c>
      <c r="G16" s="16" t="str">
        <f t="shared" si="1"/>
        <v xml:space="preserve"> </v>
      </c>
      <c r="I16" s="55"/>
      <c r="J16" s="55"/>
      <c r="K16" s="55"/>
      <c r="L16" s="55"/>
      <c r="M16" s="55"/>
      <c r="N16" s="55"/>
    </row>
    <row r="17" spans="1:19" x14ac:dyDescent="0.35">
      <c r="A17" s="6" t="s">
        <v>39</v>
      </c>
      <c r="B17" s="7"/>
      <c r="C17" s="7"/>
      <c r="D17" s="7"/>
      <c r="E17" s="17">
        <f t="shared" si="0"/>
        <v>0</v>
      </c>
      <c r="G17" s="18" t="str">
        <f t="shared" si="1"/>
        <v xml:space="preserve"> </v>
      </c>
      <c r="I17" s="55"/>
      <c r="J17" s="55"/>
      <c r="K17" s="55"/>
      <c r="L17" s="55"/>
      <c r="M17" s="55"/>
      <c r="N17" s="55"/>
    </row>
    <row r="18" spans="1:19" x14ac:dyDescent="0.35">
      <c r="A18" s="6" t="s">
        <v>40</v>
      </c>
      <c r="B18" s="7"/>
      <c r="C18" s="7"/>
      <c r="D18" s="7"/>
      <c r="E18" s="19" t="str">
        <f>IF(G18=0," ",1/G18)</f>
        <v xml:space="preserve"> </v>
      </c>
      <c r="G18" s="20">
        <f>SUM(C18:D18)/2</f>
        <v>0</v>
      </c>
      <c r="I18" s="55"/>
      <c r="J18" s="55"/>
      <c r="K18" s="55"/>
      <c r="L18" s="55"/>
      <c r="M18" s="55"/>
      <c r="N18" s="55"/>
    </row>
    <row r="19" spans="1:19" x14ac:dyDescent="0.35">
      <c r="A19" s="6" t="s">
        <v>41</v>
      </c>
      <c r="B19" s="7"/>
      <c r="C19" s="7"/>
      <c r="D19" s="7"/>
      <c r="E19" s="21" t="str">
        <f>IF(G19=0," ",1/G19)</f>
        <v xml:space="preserve"> </v>
      </c>
      <c r="G19" s="22">
        <f>SUM(C19:D19)/2</f>
        <v>0</v>
      </c>
      <c r="I19" s="55"/>
      <c r="J19" s="55"/>
      <c r="K19" s="55"/>
      <c r="L19" s="56"/>
      <c r="M19" s="55"/>
      <c r="N19" s="56"/>
    </row>
    <row r="20" spans="1:19" x14ac:dyDescent="0.35">
      <c r="A20" s="6" t="s">
        <v>42</v>
      </c>
      <c r="B20" s="7"/>
      <c r="C20" s="7"/>
      <c r="D20" s="7"/>
      <c r="E20" s="21" t="str">
        <f>IF(G20=0," ",1/G20)</f>
        <v xml:space="preserve"> </v>
      </c>
      <c r="G20" s="22">
        <f>SUM(C20:D20)/2</f>
        <v>0</v>
      </c>
      <c r="I20" s="55"/>
      <c r="J20" s="55"/>
      <c r="K20" s="55"/>
      <c r="L20" s="56"/>
      <c r="M20" s="56"/>
      <c r="N20" s="56"/>
    </row>
    <row r="21" spans="1:19" x14ac:dyDescent="0.35">
      <c r="A21" s="6" t="s">
        <v>43</v>
      </c>
      <c r="B21" s="7"/>
      <c r="C21" s="7"/>
      <c r="D21" s="7"/>
      <c r="E21" s="21" t="str">
        <f>IF(G21=0," ",1/G21)</f>
        <v xml:space="preserve"> </v>
      </c>
      <c r="G21" s="22">
        <f>SUM(C21:D21)/2</f>
        <v>0</v>
      </c>
      <c r="I21" s="55"/>
      <c r="J21" s="55"/>
      <c r="K21" s="55"/>
      <c r="L21" s="56"/>
      <c r="M21" s="55"/>
      <c r="N21" s="56"/>
    </row>
    <row r="22" spans="1:19" x14ac:dyDescent="0.35">
      <c r="A22" s="6" t="s">
        <v>44</v>
      </c>
      <c r="B22" s="7"/>
      <c r="C22" s="7"/>
      <c r="D22" s="7"/>
      <c r="E22" s="23" t="str">
        <f>IF(G22=0," ",1/G22)</f>
        <v xml:space="preserve"> </v>
      </c>
      <c r="G22" s="24">
        <f>SUM(C22:D22)/2</f>
        <v>0</v>
      </c>
      <c r="I22" s="55"/>
      <c r="J22" s="55"/>
      <c r="K22" s="55"/>
      <c r="L22" s="55"/>
      <c r="M22" s="55"/>
      <c r="N22" s="56"/>
      <c r="O22" s="56"/>
      <c r="P22" s="56"/>
      <c r="Q22" s="56"/>
      <c r="R22" s="56"/>
      <c r="S22" s="56"/>
    </row>
    <row r="23" spans="1:19" x14ac:dyDescent="0.35">
      <c r="A23" s="6" t="s">
        <v>45</v>
      </c>
      <c r="B23" s="7"/>
      <c r="C23" s="7"/>
      <c r="D23" s="7"/>
      <c r="E23" s="17">
        <f>SUM(C23:D23)/2</f>
        <v>0</v>
      </c>
      <c r="G23" s="18" t="str">
        <f>IF(E23=0," ",1/E23)</f>
        <v xml:space="preserve"> </v>
      </c>
      <c r="J23" s="55"/>
      <c r="K23" s="55"/>
      <c r="L23" s="55"/>
      <c r="M23" s="55"/>
      <c r="N23" s="55"/>
    </row>
    <row r="24" spans="1:19" x14ac:dyDescent="0.35">
      <c r="K24" s="55"/>
      <c r="L24" s="55"/>
      <c r="M24" s="55"/>
    </row>
    <row r="25" spans="1:19" x14ac:dyDescent="0.35">
      <c r="K25" s="55"/>
      <c r="L25" s="55"/>
    </row>
    <row r="26" spans="1:19" x14ac:dyDescent="0.35">
      <c r="K26" s="5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2"/>
  <sheetViews>
    <sheetView workbookViewId="0">
      <selection activeCell="C2" sqref="C2"/>
    </sheetView>
  </sheetViews>
  <sheetFormatPr defaultRowHeight="14.5" x14ac:dyDescent="0.35"/>
  <cols>
    <col min="1" max="1" width="29.1796875" bestFit="1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4.1796875" customWidth="1"/>
    <col min="7" max="7" width="11.54296875" bestFit="1" customWidth="1"/>
  </cols>
  <sheetData>
    <row r="1" spans="1:17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7" x14ac:dyDescent="0.35">
      <c r="A2" s="59">
        <f>('07-07'!A2)+1</f>
        <v>46211</v>
      </c>
      <c r="B2" s="12"/>
      <c r="C2" s="13"/>
      <c r="I2" s="55"/>
      <c r="J2" s="55"/>
    </row>
    <row r="3" spans="1:17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</row>
    <row r="4" spans="1:17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N4" s="55"/>
    </row>
    <row r="5" spans="1:17" x14ac:dyDescent="0.35">
      <c r="A5" s="6" t="s">
        <v>27</v>
      </c>
      <c r="B5" s="7" t="s">
        <v>47</v>
      </c>
      <c r="C5" s="7">
        <v>11.4343</v>
      </c>
      <c r="D5" s="7">
        <v>11.4457</v>
      </c>
      <c r="E5" s="15">
        <f t="shared" ref="E5:E17" si="0">SUM(C5:D5)/2</f>
        <v>11.440000000000001</v>
      </c>
      <c r="G5" s="16">
        <f>IF(E5=0," ",1/E5)</f>
        <v>8.7412587412587409E-2</v>
      </c>
      <c r="I5" s="55"/>
      <c r="J5" s="55"/>
      <c r="K5" s="55"/>
      <c r="N5" s="55"/>
    </row>
    <row r="6" spans="1:17" x14ac:dyDescent="0.35">
      <c r="A6" s="6" t="s">
        <v>28</v>
      </c>
      <c r="B6" s="7" t="s">
        <v>48</v>
      </c>
      <c r="C6" s="7">
        <v>15.2796</v>
      </c>
      <c r="D6" s="7">
        <v>15.296099999999999</v>
      </c>
      <c r="E6" s="15">
        <f t="shared" si="0"/>
        <v>15.287849999999999</v>
      </c>
      <c r="G6" s="16">
        <f t="shared" ref="G6:G17" si="1">IF(E6=0," ",1/E6)</f>
        <v>6.5411421488306074E-2</v>
      </c>
      <c r="I6" s="55"/>
      <c r="J6" s="55"/>
      <c r="K6" s="55"/>
      <c r="L6" s="55"/>
      <c r="M6" s="55"/>
      <c r="N6" s="55"/>
    </row>
    <row r="7" spans="1:17" x14ac:dyDescent="0.35">
      <c r="A7" s="6" t="s">
        <v>29</v>
      </c>
      <c r="B7" s="7" t="s">
        <v>49</v>
      </c>
      <c r="C7" s="7">
        <v>14.1112</v>
      </c>
      <c r="D7" s="7">
        <v>14.1251</v>
      </c>
      <c r="E7" s="17">
        <f t="shared" si="0"/>
        <v>14.11815</v>
      </c>
      <c r="G7" s="18">
        <f t="shared" si="1"/>
        <v>7.0830809985727591E-2</v>
      </c>
      <c r="I7" s="55"/>
      <c r="J7" s="55"/>
      <c r="K7" s="55"/>
      <c r="L7" s="55"/>
      <c r="M7" s="55"/>
      <c r="N7" s="55"/>
    </row>
    <row r="8" spans="1:17" x14ac:dyDescent="0.35">
      <c r="A8" s="6" t="s">
        <v>30</v>
      </c>
      <c r="B8" s="7" t="s">
        <v>50</v>
      </c>
      <c r="C8" s="7">
        <v>7.9025999999999996</v>
      </c>
      <c r="D8" s="7">
        <v>7.9127000000000001</v>
      </c>
      <c r="E8" s="17">
        <f t="shared" si="0"/>
        <v>7.9076500000000003</v>
      </c>
      <c r="G8" s="18">
        <f t="shared" si="1"/>
        <v>0.12645982055351462</v>
      </c>
      <c r="I8" s="55"/>
      <c r="J8" s="55"/>
      <c r="K8" s="55"/>
      <c r="L8" s="55"/>
      <c r="M8" s="55"/>
      <c r="N8" s="55"/>
      <c r="Q8" s="55"/>
    </row>
    <row r="9" spans="1:17" x14ac:dyDescent="0.35">
      <c r="A9" s="6" t="s">
        <v>31</v>
      </c>
      <c r="B9" s="7" t="s">
        <v>51</v>
      </c>
      <c r="C9" s="7">
        <v>8.0614000000000008</v>
      </c>
      <c r="D9" s="7">
        <v>8.0692000000000004</v>
      </c>
      <c r="E9" s="17">
        <f t="shared" si="0"/>
        <v>8.0653000000000006</v>
      </c>
      <c r="G9" s="18">
        <f t="shared" si="1"/>
        <v>0.12398794837141829</v>
      </c>
      <c r="I9" s="55"/>
      <c r="J9" s="55"/>
      <c r="K9" s="55"/>
      <c r="L9" s="55"/>
      <c r="M9" s="55"/>
      <c r="N9" s="55"/>
      <c r="Q9" s="55"/>
    </row>
    <row r="10" spans="1:17" x14ac:dyDescent="0.35">
      <c r="A10" s="6" t="s">
        <v>32</v>
      </c>
      <c r="B10" s="7" t="s">
        <v>52</v>
      </c>
      <c r="C10" s="7">
        <v>1.7435</v>
      </c>
      <c r="D10" s="7">
        <v>1.7452000000000001</v>
      </c>
      <c r="E10" s="17">
        <f t="shared" si="0"/>
        <v>1.7443500000000001</v>
      </c>
      <c r="G10" s="18">
        <f t="shared" si="1"/>
        <v>0.57327944506549711</v>
      </c>
      <c r="I10" s="55"/>
      <c r="J10" s="55"/>
      <c r="K10" s="55"/>
      <c r="L10" s="55"/>
      <c r="M10" s="55"/>
      <c r="N10" s="55"/>
      <c r="Q10" s="55"/>
    </row>
    <row r="11" spans="1:17" x14ac:dyDescent="0.35">
      <c r="A11" s="6" t="s">
        <v>33</v>
      </c>
      <c r="B11" s="7" t="s">
        <v>53</v>
      </c>
      <c r="C11" s="7">
        <v>7.0300000000000001E-2</v>
      </c>
      <c r="D11" s="7">
        <v>7.0400000000000004E-2</v>
      </c>
      <c r="E11" s="17">
        <f t="shared" si="0"/>
        <v>7.0349999999999996E-2</v>
      </c>
      <c r="G11" s="18">
        <f t="shared" si="1"/>
        <v>14.214641080312722</v>
      </c>
      <c r="I11" s="55"/>
      <c r="J11" s="55"/>
      <c r="K11" s="55"/>
      <c r="L11" s="55"/>
      <c r="M11" s="55"/>
      <c r="N11" s="55"/>
      <c r="Q11" s="55"/>
    </row>
    <row r="12" spans="1:17" x14ac:dyDescent="0.35">
      <c r="A12" s="6" t="s">
        <v>34</v>
      </c>
      <c r="B12" s="7" t="s">
        <v>54</v>
      </c>
      <c r="C12" s="7">
        <v>6.5</v>
      </c>
      <c r="D12" s="7">
        <v>6.5084999999999997</v>
      </c>
      <c r="E12" s="17">
        <f t="shared" si="0"/>
        <v>6.5042499999999999</v>
      </c>
      <c r="G12" s="18">
        <f t="shared" si="1"/>
        <v>0.15374562785870777</v>
      </c>
      <c r="I12" s="55"/>
      <c r="J12" s="55"/>
      <c r="K12" s="55"/>
      <c r="L12" s="55"/>
      <c r="M12" s="55"/>
      <c r="N12" s="55"/>
      <c r="Q12" s="55"/>
    </row>
    <row r="13" spans="1:17" x14ac:dyDescent="0.35">
      <c r="A13" s="6" t="s">
        <v>35</v>
      </c>
      <c r="B13" s="7" t="s">
        <v>55</v>
      </c>
      <c r="C13" s="7">
        <v>1.1664000000000001</v>
      </c>
      <c r="D13" s="7">
        <v>1.1672</v>
      </c>
      <c r="E13" s="17">
        <f t="shared" si="0"/>
        <v>1.1668000000000001</v>
      </c>
      <c r="G13" s="18">
        <f t="shared" si="1"/>
        <v>0.85704490915323961</v>
      </c>
      <c r="I13" s="55"/>
      <c r="J13" s="55"/>
      <c r="K13" s="55"/>
      <c r="L13" s="55"/>
      <c r="M13" s="55"/>
      <c r="N13" s="55"/>
      <c r="Q13" s="55"/>
    </row>
    <row r="14" spans="1:17" x14ac:dyDescent="0.35">
      <c r="A14" s="6" t="s">
        <v>36</v>
      </c>
      <c r="B14" s="7" t="s">
        <v>56</v>
      </c>
      <c r="C14" s="7">
        <v>1.1744000000000001</v>
      </c>
      <c r="D14" s="7">
        <v>1.1754</v>
      </c>
      <c r="E14" s="17">
        <f t="shared" si="0"/>
        <v>1.1749000000000001</v>
      </c>
      <c r="G14" s="18">
        <f t="shared" si="1"/>
        <v>0.85113626691633326</v>
      </c>
      <c r="I14" s="55"/>
      <c r="J14" s="55"/>
      <c r="K14" s="55"/>
      <c r="L14" s="55"/>
      <c r="M14" s="55"/>
      <c r="N14" s="55"/>
      <c r="Q14" s="55"/>
    </row>
    <row r="15" spans="1:17" x14ac:dyDescent="0.35">
      <c r="A15" s="6" t="s">
        <v>37</v>
      </c>
      <c r="B15" s="7" t="s">
        <v>57</v>
      </c>
      <c r="C15" s="7">
        <v>0.69469999999999998</v>
      </c>
      <c r="D15" s="7">
        <v>0.69510000000000005</v>
      </c>
      <c r="E15" s="17">
        <f t="shared" si="0"/>
        <v>0.69490000000000007</v>
      </c>
      <c r="G15" s="18">
        <f t="shared" si="1"/>
        <v>1.4390559792775937</v>
      </c>
      <c r="I15" s="55"/>
      <c r="J15" s="55"/>
      <c r="K15" s="55"/>
      <c r="L15" s="55"/>
      <c r="M15" s="55"/>
      <c r="N15" s="55"/>
      <c r="Q15" s="55"/>
    </row>
    <row r="16" spans="1:17" x14ac:dyDescent="0.35">
      <c r="A16" s="6" t="s">
        <v>38</v>
      </c>
      <c r="B16" s="7" t="s">
        <v>58</v>
      </c>
      <c r="C16" s="7">
        <v>13.033899999999999</v>
      </c>
      <c r="D16" s="7">
        <v>13.0457</v>
      </c>
      <c r="E16" s="15">
        <f t="shared" si="0"/>
        <v>13.0398</v>
      </c>
      <c r="G16" s="16">
        <f t="shared" si="1"/>
        <v>7.6688292765226457E-2</v>
      </c>
      <c r="I16" s="55"/>
      <c r="J16" s="55"/>
      <c r="K16" s="55"/>
      <c r="L16" s="55"/>
      <c r="M16" s="55"/>
      <c r="N16" s="55"/>
      <c r="Q16" s="55"/>
    </row>
    <row r="17" spans="1:22" x14ac:dyDescent="0.35">
      <c r="A17" s="6" t="s">
        <v>39</v>
      </c>
      <c r="B17" s="7" t="s">
        <v>59</v>
      </c>
      <c r="C17" s="7">
        <v>1.6807000000000001</v>
      </c>
      <c r="D17" s="7">
        <v>1.6814</v>
      </c>
      <c r="E17" s="17">
        <f t="shared" si="0"/>
        <v>1.6810499999999999</v>
      </c>
      <c r="G17" s="18">
        <f t="shared" si="1"/>
        <v>0.59486630379822136</v>
      </c>
      <c r="I17" s="55"/>
      <c r="J17" s="55"/>
      <c r="K17" s="55"/>
      <c r="L17" s="55"/>
      <c r="M17" s="55"/>
      <c r="N17" s="55"/>
      <c r="Q17" s="55"/>
    </row>
    <row r="18" spans="1:22" x14ac:dyDescent="0.35">
      <c r="A18" s="6" t="s">
        <v>40</v>
      </c>
      <c r="B18" s="7" t="s">
        <v>60</v>
      </c>
      <c r="C18" s="7">
        <v>50.281500000000001</v>
      </c>
      <c r="D18" s="7">
        <v>50.326999999999998</v>
      </c>
      <c r="E18" s="19">
        <f>IF(G18=0," ",1/G18)</f>
        <v>1.9879036065541183E-2</v>
      </c>
      <c r="G18" s="20">
        <f>SUM(C18:D18)/2</f>
        <v>50.304249999999996</v>
      </c>
      <c r="I18" s="55"/>
      <c r="J18" s="55"/>
      <c r="K18" s="55"/>
      <c r="L18" s="55"/>
      <c r="M18" s="55"/>
      <c r="N18" s="55"/>
      <c r="Q18" s="55"/>
    </row>
    <row r="19" spans="1:22" x14ac:dyDescent="0.35">
      <c r="A19" s="6" t="s">
        <v>41</v>
      </c>
      <c r="B19" s="7" t="s">
        <v>61</v>
      </c>
      <c r="C19" s="7">
        <v>6.3571</v>
      </c>
      <c r="D19" s="7">
        <v>6.4314</v>
      </c>
      <c r="E19" s="21">
        <f>IF(G19=0," ",1/G19)</f>
        <v>0.15639050709621927</v>
      </c>
      <c r="G19" s="22">
        <f>SUM(C19:D19)/2</f>
        <v>6.3942499999999995</v>
      </c>
      <c r="I19" s="55"/>
      <c r="J19" s="55"/>
      <c r="K19" s="55"/>
      <c r="L19" s="55"/>
      <c r="M19" s="56"/>
      <c r="N19" s="55"/>
      <c r="O19" s="56"/>
      <c r="Q19" s="55"/>
    </row>
    <row r="20" spans="1:22" x14ac:dyDescent="0.35">
      <c r="A20" s="6" t="s">
        <v>42</v>
      </c>
      <c r="B20" s="7" t="s">
        <v>62</v>
      </c>
      <c r="C20" s="7">
        <v>31.206299999999999</v>
      </c>
      <c r="D20" s="7">
        <v>31.293700000000001</v>
      </c>
      <c r="E20" s="21">
        <f>IF(G20=0," ",1/G20)</f>
        <v>3.2000000000000001E-2</v>
      </c>
      <c r="G20" s="22">
        <f>SUM(C20:D20)/2</f>
        <v>31.25</v>
      </c>
      <c r="I20" s="55"/>
      <c r="J20" s="55"/>
      <c r="K20" s="55"/>
      <c r="L20" s="56"/>
      <c r="M20" s="56"/>
      <c r="N20" s="55"/>
      <c r="Q20" s="55"/>
    </row>
    <row r="21" spans="1:22" x14ac:dyDescent="0.35">
      <c r="A21" s="6" t="s">
        <v>43</v>
      </c>
      <c r="B21" s="7" t="s">
        <v>63</v>
      </c>
      <c r="C21" s="7">
        <v>120.46420000000001</v>
      </c>
      <c r="D21" s="7">
        <v>120.57429999999999</v>
      </c>
      <c r="E21" s="21">
        <f>IF(G21=0," ",1/G21)</f>
        <v>8.29742966372592E-3</v>
      </c>
      <c r="G21" s="22">
        <f>SUM(C21:D21)/2</f>
        <v>120.51925</v>
      </c>
      <c r="I21" s="55"/>
      <c r="J21" s="55"/>
      <c r="K21" s="55"/>
      <c r="L21" s="56"/>
      <c r="M21" s="56"/>
      <c r="N21" s="55"/>
      <c r="O21" s="56"/>
      <c r="Q21" s="55"/>
    </row>
    <row r="22" spans="1:22" x14ac:dyDescent="0.35">
      <c r="A22" s="6" t="s">
        <v>44</v>
      </c>
      <c r="B22" s="7" t="s">
        <v>64</v>
      </c>
      <c r="C22" s="7">
        <v>2078.6444000000001</v>
      </c>
      <c r="D22" s="7">
        <v>2131.9929999999999</v>
      </c>
      <c r="E22" s="23">
        <f>IF(G22=0," ",1/G22)</f>
        <v>4.7498746864310854E-4</v>
      </c>
      <c r="G22" s="24">
        <f>SUM(C22:D22)/2</f>
        <v>2105.3186999999998</v>
      </c>
      <c r="I22" s="55"/>
      <c r="J22" s="55"/>
      <c r="K22" s="55"/>
      <c r="L22" s="56"/>
      <c r="M22" s="56"/>
      <c r="N22" s="56"/>
      <c r="O22" s="56"/>
      <c r="P22" s="56"/>
      <c r="Q22" s="55"/>
    </row>
    <row r="23" spans="1:22" x14ac:dyDescent="0.35">
      <c r="A23" s="6" t="s">
        <v>45</v>
      </c>
      <c r="B23" s="7" t="s">
        <v>65</v>
      </c>
      <c r="C23" s="7">
        <v>1.2999999999999999E-2</v>
      </c>
      <c r="D23" s="7">
        <v>1.2999999999999999E-2</v>
      </c>
      <c r="E23" s="17">
        <f>SUM(C23:D23)/2</f>
        <v>1.2999999999999999E-2</v>
      </c>
      <c r="G23" s="18">
        <f>IF(E23=0," ",1/E23)</f>
        <v>76.92307692307692</v>
      </c>
      <c r="J23" s="55"/>
      <c r="K23" s="55"/>
      <c r="L23" s="55"/>
      <c r="M23" s="55"/>
      <c r="N23" s="56"/>
      <c r="O23" s="56"/>
      <c r="P23" s="56"/>
      <c r="Q23" s="55"/>
    </row>
    <row r="24" spans="1:22" x14ac:dyDescent="0.35">
      <c r="J24" s="55"/>
      <c r="K24" s="55"/>
      <c r="L24" s="55"/>
      <c r="M24" s="55"/>
      <c r="Q24" s="55"/>
    </row>
    <row r="25" spans="1:22" x14ac:dyDescent="0.35">
      <c r="J25" s="55"/>
      <c r="K25" s="55"/>
      <c r="Q25" s="55"/>
      <c r="T25" s="56"/>
      <c r="U25" s="56"/>
      <c r="V25" s="56"/>
    </row>
    <row r="26" spans="1:22" x14ac:dyDescent="0.35">
      <c r="K26" s="55"/>
      <c r="Q26" s="55"/>
    </row>
    <row r="27" spans="1:22" x14ac:dyDescent="0.35">
      <c r="Q27" s="55"/>
    </row>
    <row r="28" spans="1:22" x14ac:dyDescent="0.35">
      <c r="Q28" s="55"/>
    </row>
    <row r="29" spans="1:22" x14ac:dyDescent="0.35">
      <c r="Q29" s="55"/>
    </row>
    <row r="30" spans="1:22" x14ac:dyDescent="0.35">
      <c r="Q30" s="55"/>
    </row>
    <row r="31" spans="1:22" x14ac:dyDescent="0.35">
      <c r="Q31" s="55"/>
    </row>
    <row r="32" spans="1:22" x14ac:dyDescent="0.35">
      <c r="Q32" s="55"/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"/>
  <sheetViews>
    <sheetView workbookViewId="0">
      <selection activeCell="B2" sqref="B2"/>
    </sheetView>
  </sheetViews>
  <sheetFormatPr defaultColWidth="9.1796875" defaultRowHeight="14.5" x14ac:dyDescent="0.35"/>
  <cols>
    <col min="1" max="1" width="30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6384" width="9.1796875" style="14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('07-07'!A2)+2</f>
        <v>46212</v>
      </c>
      <c r="B2" s="12"/>
      <c r="C2" s="13"/>
      <c r="D2"/>
      <c r="E2" s="1"/>
      <c r="F2"/>
      <c r="G2"/>
      <c r="I2" s="57"/>
      <c r="J2" s="57"/>
    </row>
    <row r="3" spans="1:16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5"/>
      <c r="K4" s="57"/>
      <c r="L4" s="57"/>
      <c r="P4" s="57"/>
    </row>
    <row r="5" spans="1:16" x14ac:dyDescent="0.35">
      <c r="A5" s="6" t="s">
        <v>27</v>
      </c>
      <c r="B5" s="7" t="s">
        <v>47</v>
      </c>
      <c r="C5" s="7">
        <v>11.457800000000001</v>
      </c>
      <c r="D5" s="7">
        <v>11.469200000000001</v>
      </c>
      <c r="E5" s="15">
        <f t="shared" ref="E5:E17" si="0">SUM(C5:D5)/2</f>
        <v>11.4635</v>
      </c>
      <c r="F5"/>
      <c r="G5" s="16">
        <f>IF(E5=0," ",1/E5)</f>
        <v>8.7233392942818511E-2</v>
      </c>
      <c r="I5" s="57"/>
      <c r="J5" s="57"/>
      <c r="K5" s="57"/>
      <c r="L5" s="57"/>
      <c r="M5" s="34"/>
      <c r="N5" s="34"/>
      <c r="P5" s="57"/>
    </row>
    <row r="6" spans="1:16" x14ac:dyDescent="0.35">
      <c r="A6" s="6" t="s">
        <v>28</v>
      </c>
      <c r="B6" s="7" t="s">
        <v>48</v>
      </c>
      <c r="C6" s="7">
        <v>15.3706</v>
      </c>
      <c r="D6" s="7">
        <v>15.385999999999999</v>
      </c>
      <c r="E6" s="15">
        <f t="shared" si="0"/>
        <v>15.378299999999999</v>
      </c>
      <c r="F6"/>
      <c r="G6" s="16">
        <f t="shared" ref="G6:G17" si="1">IF(E6=0," ",1/E6)</f>
        <v>6.5026693457664375E-2</v>
      </c>
      <c r="I6" s="57"/>
      <c r="J6" s="57"/>
      <c r="K6" s="57"/>
      <c r="L6" s="57"/>
      <c r="M6" s="34"/>
      <c r="N6" s="34"/>
      <c r="O6" s="57"/>
      <c r="P6" s="57"/>
    </row>
    <row r="7" spans="1:16" x14ac:dyDescent="0.35">
      <c r="A7" s="6" t="s">
        <v>29</v>
      </c>
      <c r="B7" s="7" t="s">
        <v>49</v>
      </c>
      <c r="C7" s="7">
        <v>14.1913</v>
      </c>
      <c r="D7" s="7">
        <v>14.2042</v>
      </c>
      <c r="E7" s="17">
        <f t="shared" si="0"/>
        <v>14.197749999999999</v>
      </c>
      <c r="F7"/>
      <c r="G7" s="18">
        <f t="shared" si="1"/>
        <v>7.0433695479917596E-2</v>
      </c>
      <c r="I7" s="57"/>
      <c r="J7" s="57"/>
      <c r="K7" s="57"/>
      <c r="L7" s="57"/>
      <c r="M7" s="34"/>
      <c r="N7" s="34"/>
      <c r="O7" s="57"/>
      <c r="P7" s="57"/>
    </row>
    <row r="8" spans="1:16" x14ac:dyDescent="0.35">
      <c r="A8" s="6" t="s">
        <v>30</v>
      </c>
      <c r="B8" s="7" t="s">
        <v>50</v>
      </c>
      <c r="C8" s="7">
        <v>7.9481000000000002</v>
      </c>
      <c r="D8" s="7">
        <v>7.9561000000000002</v>
      </c>
      <c r="E8" s="17">
        <f t="shared" si="0"/>
        <v>7.9520999999999997</v>
      </c>
      <c r="F8"/>
      <c r="G8" s="18">
        <f t="shared" si="1"/>
        <v>0.1257529457627545</v>
      </c>
      <c r="I8" s="57"/>
      <c r="J8" s="57"/>
      <c r="K8" s="57"/>
      <c r="L8" s="57"/>
      <c r="M8" s="34"/>
      <c r="N8" s="34"/>
      <c r="O8" s="57"/>
      <c r="P8" s="57"/>
    </row>
    <row r="9" spans="1:16" x14ac:dyDescent="0.35">
      <c r="A9" s="6" t="s">
        <v>31</v>
      </c>
      <c r="B9" s="7" t="s">
        <v>51</v>
      </c>
      <c r="C9" s="7">
        <v>8.0803999999999991</v>
      </c>
      <c r="D9" s="7">
        <v>8.0876999999999999</v>
      </c>
      <c r="E9" s="17">
        <f t="shared" si="0"/>
        <v>8.0840499999999995</v>
      </c>
      <c r="F9"/>
      <c r="G9" s="18">
        <f t="shared" si="1"/>
        <v>0.12370037295662448</v>
      </c>
      <c r="I9" s="57"/>
      <c r="J9" s="57"/>
      <c r="K9" s="57"/>
      <c r="L9" s="57"/>
      <c r="M9" s="34"/>
      <c r="N9" s="34"/>
      <c r="O9" s="57"/>
      <c r="P9" s="57"/>
    </row>
    <row r="10" spans="1:16" x14ac:dyDescent="0.35">
      <c r="A10" s="6" t="s">
        <v>32</v>
      </c>
      <c r="B10" s="7" t="s">
        <v>52</v>
      </c>
      <c r="C10" s="7">
        <v>1.7517</v>
      </c>
      <c r="D10" s="7">
        <v>1.7532000000000001</v>
      </c>
      <c r="E10" s="17">
        <f t="shared" si="0"/>
        <v>1.7524500000000001</v>
      </c>
      <c r="F10"/>
      <c r="G10" s="18">
        <f t="shared" si="1"/>
        <v>0.57062968986276352</v>
      </c>
      <c r="I10" s="57"/>
      <c r="J10" s="57"/>
      <c r="K10" s="57"/>
      <c r="L10" s="57"/>
      <c r="M10" s="34"/>
      <c r="N10" s="34"/>
      <c r="O10" s="57"/>
      <c r="P10" s="57"/>
    </row>
    <row r="11" spans="1:16" x14ac:dyDescent="0.35">
      <c r="A11" s="6" t="s">
        <v>33</v>
      </c>
      <c r="B11" s="7" t="s">
        <v>53</v>
      </c>
      <c r="C11" s="7">
        <v>7.0599999999999996E-2</v>
      </c>
      <c r="D11" s="7">
        <v>7.0599999999999996E-2</v>
      </c>
      <c r="E11" s="17">
        <f t="shared" si="0"/>
        <v>7.0599999999999996E-2</v>
      </c>
      <c r="F11"/>
      <c r="G11" s="18">
        <f t="shared" si="1"/>
        <v>14.164305949008499</v>
      </c>
      <c r="I11" s="57"/>
      <c r="J11" s="57"/>
      <c r="K11" s="57"/>
      <c r="L11" s="57"/>
      <c r="M11" s="34"/>
      <c r="N11" s="34"/>
      <c r="O11" s="57"/>
      <c r="P11" s="57"/>
    </row>
    <row r="12" spans="1:16" x14ac:dyDescent="0.35">
      <c r="A12" s="6" t="s">
        <v>34</v>
      </c>
      <c r="B12" s="7" t="s">
        <v>54</v>
      </c>
      <c r="C12" s="7">
        <v>6.5678999999999998</v>
      </c>
      <c r="D12" s="7">
        <v>6.5759999999999996</v>
      </c>
      <c r="E12" s="17">
        <f t="shared" si="0"/>
        <v>6.5719499999999993</v>
      </c>
      <c r="F12"/>
      <c r="G12" s="18">
        <f t="shared" si="1"/>
        <v>0.15216183933231386</v>
      </c>
      <c r="I12" s="57"/>
      <c r="J12" s="57"/>
      <c r="K12" s="57"/>
      <c r="L12" s="57"/>
      <c r="M12" s="34"/>
      <c r="N12" s="34"/>
      <c r="O12" s="57"/>
      <c r="P12" s="57"/>
    </row>
    <row r="13" spans="1:16" x14ac:dyDescent="0.35">
      <c r="A13" s="6" t="s">
        <v>35</v>
      </c>
      <c r="B13" s="7" t="s">
        <v>55</v>
      </c>
      <c r="C13" s="7">
        <v>1.1732</v>
      </c>
      <c r="D13" s="7">
        <v>1.1739999999999999</v>
      </c>
      <c r="E13" s="17">
        <f t="shared" si="0"/>
        <v>1.1736</v>
      </c>
      <c r="F13"/>
      <c r="G13" s="18">
        <f t="shared" si="1"/>
        <v>0.8520790729379687</v>
      </c>
      <c r="I13" s="57"/>
      <c r="J13" s="57"/>
      <c r="K13" s="57"/>
      <c r="L13" s="57"/>
      <c r="M13" s="34"/>
      <c r="N13" s="34"/>
      <c r="O13" s="57"/>
      <c r="P13" s="57"/>
    </row>
    <row r="14" spans="1:16" x14ac:dyDescent="0.35">
      <c r="A14" s="6" t="s">
        <v>36</v>
      </c>
      <c r="B14" s="7" t="s">
        <v>56</v>
      </c>
      <c r="C14" s="7">
        <v>1.1833</v>
      </c>
      <c r="D14" s="7">
        <v>1.1841999999999999</v>
      </c>
      <c r="E14" s="17">
        <f t="shared" si="0"/>
        <v>1.1837499999999999</v>
      </c>
      <c r="F14"/>
      <c r="G14" s="18">
        <f t="shared" si="1"/>
        <v>0.84477296726504758</v>
      </c>
      <c r="I14" s="57"/>
      <c r="J14" s="57"/>
      <c r="K14" s="57"/>
      <c r="L14" s="57"/>
      <c r="M14" s="34"/>
      <c r="N14" s="34"/>
      <c r="O14" s="57"/>
      <c r="P14" s="57"/>
    </row>
    <row r="15" spans="1:16" x14ac:dyDescent="0.35">
      <c r="A15" s="6" t="s">
        <v>37</v>
      </c>
      <c r="B15" s="7" t="s">
        <v>57</v>
      </c>
      <c r="C15" s="7">
        <v>0.70020000000000004</v>
      </c>
      <c r="D15" s="7">
        <v>0.7006</v>
      </c>
      <c r="E15" s="17">
        <f t="shared" si="0"/>
        <v>0.70040000000000002</v>
      </c>
      <c r="F15"/>
      <c r="G15" s="18">
        <f t="shared" si="1"/>
        <v>1.427755568246716</v>
      </c>
      <c r="I15" s="57"/>
      <c r="J15" s="57"/>
      <c r="K15" s="57"/>
      <c r="L15" s="57"/>
      <c r="M15" s="34"/>
      <c r="N15" s="34"/>
      <c r="O15" s="57"/>
      <c r="P15" s="57"/>
    </row>
    <row r="16" spans="1:16" x14ac:dyDescent="0.35">
      <c r="A16" s="6" t="s">
        <v>38</v>
      </c>
      <c r="B16" s="7" t="s">
        <v>58</v>
      </c>
      <c r="C16" s="7">
        <v>13.0947</v>
      </c>
      <c r="D16" s="7">
        <v>13.105600000000001</v>
      </c>
      <c r="E16" s="15">
        <f t="shared" si="0"/>
        <v>13.100149999999999</v>
      </c>
      <c r="F16"/>
      <c r="G16" s="16">
        <f t="shared" si="1"/>
        <v>7.6335003797666445E-2</v>
      </c>
      <c r="I16" s="57"/>
      <c r="J16" s="57"/>
      <c r="K16" s="57"/>
      <c r="L16" s="57"/>
      <c r="M16" s="34"/>
      <c r="N16" s="34"/>
      <c r="O16" s="57"/>
      <c r="P16" s="57"/>
    </row>
    <row r="17" spans="1:21" x14ac:dyDescent="0.35">
      <c r="A17" s="6" t="s">
        <v>39</v>
      </c>
      <c r="B17" s="7" t="s">
        <v>59</v>
      </c>
      <c r="C17" s="7">
        <v>1.6866000000000001</v>
      </c>
      <c r="D17" s="7">
        <v>1.6881999999999999</v>
      </c>
      <c r="E17" s="17">
        <f t="shared" si="0"/>
        <v>1.6874</v>
      </c>
      <c r="F17"/>
      <c r="G17" s="18">
        <f t="shared" si="1"/>
        <v>0.59262771127177905</v>
      </c>
      <c r="I17" s="57"/>
      <c r="J17" s="57"/>
      <c r="K17" s="57"/>
      <c r="L17" s="57"/>
      <c r="M17" s="34"/>
      <c r="N17" s="34"/>
      <c r="O17" s="57"/>
      <c r="P17" s="57"/>
    </row>
    <row r="18" spans="1:21" x14ac:dyDescent="0.35">
      <c r="A18" s="6" t="s">
        <v>40</v>
      </c>
      <c r="B18" s="7" t="s">
        <v>60</v>
      </c>
      <c r="C18" s="7">
        <v>50.051699999999997</v>
      </c>
      <c r="D18" s="7">
        <v>50.093299999999999</v>
      </c>
      <c r="E18" s="19">
        <f>IF(G18=0," ",1/G18)</f>
        <v>1.9971041989115784E-2</v>
      </c>
      <c r="F18"/>
      <c r="G18" s="20">
        <f>SUM(C18:D18)/2</f>
        <v>50.072499999999998</v>
      </c>
      <c r="I18" s="57"/>
      <c r="J18" s="57"/>
      <c r="K18" s="57"/>
      <c r="L18" s="57"/>
      <c r="M18" s="34"/>
      <c r="N18" s="34"/>
      <c r="O18" s="57"/>
      <c r="P18" s="57"/>
    </row>
    <row r="19" spans="1:21" x14ac:dyDescent="0.35">
      <c r="A19" s="6" t="s">
        <v>41</v>
      </c>
      <c r="B19" s="7" t="s">
        <v>61</v>
      </c>
      <c r="C19" s="7">
        <v>6.3605</v>
      </c>
      <c r="D19" s="7">
        <v>6.4181999999999997</v>
      </c>
      <c r="E19" s="21">
        <f>IF(G19=0," ",1/G19)</f>
        <v>0.15651044315931981</v>
      </c>
      <c r="F19"/>
      <c r="G19" s="22">
        <f>SUM(C19:D19)/2</f>
        <v>6.3893500000000003</v>
      </c>
      <c r="I19" s="57"/>
      <c r="J19" s="57"/>
      <c r="K19" s="57"/>
      <c r="L19" s="58"/>
      <c r="M19" s="34"/>
      <c r="N19" s="34"/>
      <c r="O19" s="57"/>
      <c r="P19" s="57"/>
    </row>
    <row r="20" spans="1:21" x14ac:dyDescent="0.35">
      <c r="A20" s="6" t="s">
        <v>42</v>
      </c>
      <c r="B20" s="7" t="s">
        <v>62</v>
      </c>
      <c r="C20" s="7">
        <v>31.142299999999999</v>
      </c>
      <c r="D20" s="7">
        <v>31.229600000000001</v>
      </c>
      <c r="E20" s="21">
        <f>IF(G20=0," ",1/G20)</f>
        <v>3.2065721903613648E-2</v>
      </c>
      <c r="F20"/>
      <c r="G20" s="22">
        <f>SUM(C20:D20)/2</f>
        <v>31.185949999999998</v>
      </c>
      <c r="I20" s="57"/>
      <c r="J20" s="57"/>
      <c r="K20" s="57"/>
      <c r="L20" s="58"/>
      <c r="M20" s="34"/>
      <c r="N20" s="34"/>
      <c r="O20" s="57"/>
      <c r="P20" s="57"/>
    </row>
    <row r="21" spans="1:21" x14ac:dyDescent="0.35">
      <c r="A21" s="6" t="s">
        <v>43</v>
      </c>
      <c r="B21" s="7" t="s">
        <v>63</v>
      </c>
      <c r="C21" s="7">
        <v>120.0724</v>
      </c>
      <c r="D21" s="7">
        <v>120.37860000000001</v>
      </c>
      <c r="E21" s="21">
        <f>IF(G21=0," ",1/G21)</f>
        <v>8.3177029831441734E-3</v>
      </c>
      <c r="F21"/>
      <c r="G21" s="22">
        <f>SUM(C21:D21)/2</f>
        <v>120.22550000000001</v>
      </c>
      <c r="I21" s="57"/>
      <c r="J21" s="57"/>
      <c r="K21" s="57"/>
      <c r="L21" s="58"/>
      <c r="M21" s="34"/>
      <c r="N21" s="34"/>
      <c r="O21" s="57"/>
      <c r="P21" s="57"/>
      <c r="Q21" s="58"/>
      <c r="S21" s="58"/>
      <c r="T21" s="58"/>
      <c r="U21" s="58"/>
    </row>
    <row r="22" spans="1:21" x14ac:dyDescent="0.35">
      <c r="A22" s="6" t="s">
        <v>44</v>
      </c>
      <c r="B22" s="7" t="s">
        <v>64</v>
      </c>
      <c r="C22" s="7">
        <v>2074.1745999999998</v>
      </c>
      <c r="D22" s="7">
        <v>2127.6224999999999</v>
      </c>
      <c r="E22" s="23">
        <f>IF(G22=0," ",1/G22)</f>
        <v>4.7598681050067842E-4</v>
      </c>
      <c r="F22"/>
      <c r="G22" s="24">
        <f>SUM(C22:D22)/2</f>
        <v>2100.8985499999999</v>
      </c>
      <c r="I22" s="57"/>
      <c r="J22" s="57"/>
      <c r="K22" s="57"/>
      <c r="L22" s="57"/>
      <c r="M22" s="34"/>
      <c r="N22" s="34"/>
      <c r="O22" s="57"/>
      <c r="P22" s="57"/>
      <c r="Q22" s="58"/>
      <c r="R22" s="58"/>
      <c r="S22" s="58"/>
    </row>
    <row r="23" spans="1:21" x14ac:dyDescent="0.35">
      <c r="A23" s="6" t="s">
        <v>45</v>
      </c>
      <c r="B23" s="7" t="s">
        <v>65</v>
      </c>
      <c r="C23" s="7">
        <v>1.2999999999999999E-2</v>
      </c>
      <c r="D23" s="7">
        <v>1.2999999999999999E-2</v>
      </c>
      <c r="E23" s="17">
        <f>SUM(C23:D23)/2</f>
        <v>1.2999999999999999E-2</v>
      </c>
      <c r="F23"/>
      <c r="G23" s="18">
        <f>IF(E23=0," ",1/E23)</f>
        <v>76.92307692307692</v>
      </c>
      <c r="J23" s="57"/>
      <c r="K23" s="57"/>
      <c r="L23" s="57"/>
      <c r="M23" s="34"/>
      <c r="N23" s="34"/>
      <c r="O23" s="57"/>
      <c r="R23" s="58"/>
      <c r="S23" s="58"/>
      <c r="T23" s="58"/>
    </row>
    <row r="24" spans="1:21" x14ac:dyDescent="0.35">
      <c r="L24" s="57"/>
      <c r="M24" s="57"/>
      <c r="N24" s="57"/>
      <c r="O24" s="57"/>
    </row>
    <row r="25" spans="1:21" x14ac:dyDescent="0.35">
      <c r="M25" s="57"/>
      <c r="N25" s="57"/>
      <c r="P25" s="58"/>
      <c r="Q25" s="58"/>
      <c r="R25" s="58"/>
    </row>
    <row r="26" spans="1:21" x14ac:dyDescent="0.35">
      <c r="M26" s="57"/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0"/>
  <sheetViews>
    <sheetView workbookViewId="0">
      <selection activeCell="B2" sqref="B2"/>
    </sheetView>
  </sheetViews>
  <sheetFormatPr defaultRowHeight="14.5" x14ac:dyDescent="0.35"/>
  <cols>
    <col min="1" max="1" width="29.453125" bestFit="1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4.1796875" customWidth="1"/>
    <col min="7" max="7" width="11.54296875" bestFit="1" customWidth="1"/>
    <col min="8" max="8" width="9.54296875" customWidth="1"/>
  </cols>
  <sheetData>
    <row r="1" spans="1:15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5" x14ac:dyDescent="0.35">
      <c r="A2" s="59">
        <f>('07-07'!A2)+3</f>
        <v>46213</v>
      </c>
      <c r="B2" s="12"/>
      <c r="C2" s="13"/>
      <c r="I2" s="55"/>
    </row>
    <row r="3" spans="1:15" x14ac:dyDescent="0.35">
      <c r="A3" s="5"/>
      <c r="B3" s="5"/>
      <c r="C3" s="5"/>
      <c r="E3" s="11" t="s">
        <v>20</v>
      </c>
      <c r="F3" s="10"/>
      <c r="G3" s="9" t="s">
        <v>21</v>
      </c>
      <c r="I3" s="55"/>
    </row>
    <row r="4" spans="1:15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K4" s="55"/>
      <c r="L4" s="55"/>
    </row>
    <row r="5" spans="1:15" x14ac:dyDescent="0.35">
      <c r="A5" s="6" t="s">
        <v>27</v>
      </c>
      <c r="B5" s="7" t="s">
        <v>47</v>
      </c>
      <c r="C5" s="7">
        <v>11.474299999999999</v>
      </c>
      <c r="D5" s="7">
        <v>11.4857</v>
      </c>
      <c r="E5" s="15">
        <f t="shared" ref="E5:E17" si="0">SUM(C5:D5)/2</f>
        <v>11.48</v>
      </c>
      <c r="G5" s="16">
        <f>IF(E5=0," ",1/E5)</f>
        <v>8.7108013937282222E-2</v>
      </c>
      <c r="I5" s="55"/>
      <c r="J5" s="55"/>
      <c r="K5" s="55"/>
      <c r="L5" s="55"/>
      <c r="M5" s="55"/>
      <c r="N5" s="55"/>
    </row>
    <row r="6" spans="1:15" x14ac:dyDescent="0.35">
      <c r="A6" s="6" t="s">
        <v>28</v>
      </c>
      <c r="B6" s="7" t="s">
        <v>48</v>
      </c>
      <c r="C6" s="7">
        <v>15.3973</v>
      </c>
      <c r="D6" s="7">
        <v>15.4139</v>
      </c>
      <c r="E6" s="15">
        <f t="shared" si="0"/>
        <v>15.4056</v>
      </c>
      <c r="G6" s="16">
        <f t="shared" ref="G6:G17" si="1">IF(E6=0," ",1/E6)</f>
        <v>6.4911460767513113E-2</v>
      </c>
      <c r="I6" s="55"/>
      <c r="J6" s="55"/>
      <c r="K6" s="55"/>
      <c r="L6" s="55"/>
      <c r="M6" s="55"/>
      <c r="N6" s="55"/>
      <c r="O6" s="55"/>
    </row>
    <row r="7" spans="1:15" x14ac:dyDescent="0.35">
      <c r="A7" s="6" t="s">
        <v>29</v>
      </c>
      <c r="B7" s="7" t="s">
        <v>49</v>
      </c>
      <c r="C7" s="7">
        <v>14.230399999999999</v>
      </c>
      <c r="D7" s="7">
        <v>14.244400000000001</v>
      </c>
      <c r="E7" s="17">
        <f t="shared" si="0"/>
        <v>14.237400000000001</v>
      </c>
      <c r="G7" s="18">
        <f t="shared" si="1"/>
        <v>7.0237543371683031E-2</v>
      </c>
      <c r="I7" s="55"/>
      <c r="J7" s="55"/>
      <c r="K7" s="55"/>
      <c r="L7" s="55"/>
      <c r="M7" s="55"/>
      <c r="N7" s="55"/>
      <c r="O7" s="55"/>
    </row>
    <row r="8" spans="1:15" x14ac:dyDescent="0.35">
      <c r="A8" s="6" t="s">
        <v>30</v>
      </c>
      <c r="B8" s="7" t="s">
        <v>50</v>
      </c>
      <c r="C8" s="7">
        <v>7.9897</v>
      </c>
      <c r="D8" s="7">
        <v>7.9997999999999996</v>
      </c>
      <c r="E8" s="17">
        <f t="shared" si="0"/>
        <v>7.9947499999999998</v>
      </c>
      <c r="G8" s="18">
        <f t="shared" si="1"/>
        <v>0.12508208511835892</v>
      </c>
      <c r="I8" s="55"/>
      <c r="J8" s="55"/>
      <c r="K8" s="55"/>
      <c r="L8" s="55"/>
      <c r="M8" s="55"/>
      <c r="N8" s="55"/>
      <c r="O8" s="55"/>
    </row>
    <row r="9" spans="1:15" x14ac:dyDescent="0.35">
      <c r="A9" s="6" t="s">
        <v>31</v>
      </c>
      <c r="B9" s="7" t="s">
        <v>51</v>
      </c>
      <c r="C9" s="7">
        <v>8.1260999999999992</v>
      </c>
      <c r="D9" s="7">
        <v>8.1340000000000003</v>
      </c>
      <c r="E9" s="17">
        <f t="shared" si="0"/>
        <v>8.1300500000000007</v>
      </c>
      <c r="G9" s="18">
        <f t="shared" si="1"/>
        <v>0.12300047355182317</v>
      </c>
      <c r="I9" s="55"/>
      <c r="J9" s="55"/>
      <c r="K9" s="55"/>
      <c r="L9" s="55"/>
      <c r="M9" s="55"/>
      <c r="N9" s="55"/>
      <c r="O9" s="55"/>
    </row>
    <row r="10" spans="1:15" x14ac:dyDescent="0.35">
      <c r="A10" s="6" t="s">
        <v>32</v>
      </c>
      <c r="B10" s="7" t="s">
        <v>52</v>
      </c>
      <c r="C10" s="7">
        <v>1.756</v>
      </c>
      <c r="D10" s="7">
        <v>1.7576000000000001</v>
      </c>
      <c r="E10" s="17">
        <f t="shared" si="0"/>
        <v>1.7568000000000001</v>
      </c>
      <c r="G10" s="18">
        <f t="shared" si="1"/>
        <v>0.56921675774134783</v>
      </c>
      <c r="I10" s="55"/>
      <c r="J10" s="55"/>
      <c r="K10" s="55"/>
      <c r="L10" s="55"/>
      <c r="M10" s="55"/>
      <c r="N10" s="55"/>
      <c r="O10" s="55"/>
    </row>
    <row r="11" spans="1:15" x14ac:dyDescent="0.35">
      <c r="A11" s="6" t="s">
        <v>33</v>
      </c>
      <c r="B11" s="7" t="s">
        <v>53</v>
      </c>
      <c r="C11" s="7">
        <v>7.1099999999999997E-2</v>
      </c>
      <c r="D11" s="7">
        <v>7.1199999999999999E-2</v>
      </c>
      <c r="E11" s="17">
        <f t="shared" si="0"/>
        <v>7.1149999999999991E-2</v>
      </c>
      <c r="G11" s="18">
        <f t="shared" si="1"/>
        <v>14.0548137737175</v>
      </c>
      <c r="I11" s="55"/>
      <c r="J11" s="55"/>
      <c r="K11" s="55"/>
      <c r="L11" s="55"/>
      <c r="M11" s="55"/>
      <c r="N11" s="55"/>
      <c r="O11" s="55"/>
    </row>
    <row r="12" spans="1:15" x14ac:dyDescent="0.35">
      <c r="A12" s="6" t="s">
        <v>34</v>
      </c>
      <c r="B12" s="7" t="s">
        <v>54</v>
      </c>
      <c r="C12" s="7">
        <v>6.6269999999999998</v>
      </c>
      <c r="D12" s="7">
        <v>6.6356999999999999</v>
      </c>
      <c r="E12" s="17">
        <f t="shared" si="0"/>
        <v>6.6313499999999994</v>
      </c>
      <c r="G12" s="18">
        <f t="shared" si="1"/>
        <v>0.15079885694466438</v>
      </c>
      <c r="I12" s="55"/>
      <c r="J12" s="55"/>
      <c r="K12" s="55"/>
      <c r="L12" s="55"/>
      <c r="M12" s="55"/>
      <c r="N12" s="55"/>
      <c r="O12" s="55"/>
    </row>
    <row r="13" spans="1:15" x14ac:dyDescent="0.35">
      <c r="A13" s="6" t="s">
        <v>35</v>
      </c>
      <c r="B13" s="7" t="s">
        <v>55</v>
      </c>
      <c r="C13" s="7">
        <v>1.1758999999999999</v>
      </c>
      <c r="D13" s="7">
        <v>1.1767000000000001</v>
      </c>
      <c r="E13" s="17">
        <f t="shared" si="0"/>
        <v>1.1762999999999999</v>
      </c>
      <c r="G13" s="18">
        <f t="shared" si="1"/>
        <v>0.85012326787384174</v>
      </c>
      <c r="I13" s="55"/>
      <c r="J13" s="55"/>
      <c r="K13" s="55"/>
      <c r="L13" s="55"/>
      <c r="M13" s="55"/>
      <c r="N13" s="55"/>
      <c r="O13" s="55"/>
    </row>
    <row r="14" spans="1:15" x14ac:dyDescent="0.35">
      <c r="A14" s="6" t="s">
        <v>36</v>
      </c>
      <c r="B14" s="7" t="s">
        <v>56</v>
      </c>
      <c r="C14" s="7">
        <v>1.1911</v>
      </c>
      <c r="D14" s="7">
        <v>1.1919999999999999</v>
      </c>
      <c r="E14" s="17">
        <f t="shared" si="0"/>
        <v>1.1915499999999999</v>
      </c>
      <c r="G14" s="18">
        <f t="shared" si="1"/>
        <v>0.83924300281146413</v>
      </c>
      <c r="I14" s="55"/>
      <c r="J14" s="55"/>
      <c r="K14" s="55"/>
      <c r="L14" s="55"/>
      <c r="M14" s="55"/>
      <c r="N14" s="55"/>
      <c r="O14" s="55"/>
    </row>
    <row r="15" spans="1:15" x14ac:dyDescent="0.35">
      <c r="A15" s="6" t="s">
        <v>37</v>
      </c>
      <c r="B15" s="7" t="s">
        <v>57</v>
      </c>
      <c r="C15" s="7">
        <v>0.70440000000000003</v>
      </c>
      <c r="D15" s="7">
        <v>0.70479999999999998</v>
      </c>
      <c r="E15" s="17">
        <f t="shared" si="0"/>
        <v>0.7046</v>
      </c>
      <c r="G15" s="18">
        <f t="shared" si="1"/>
        <v>1.4192449616803859</v>
      </c>
      <c r="I15" s="55"/>
      <c r="J15" s="55"/>
      <c r="K15" s="55"/>
      <c r="L15" s="55"/>
      <c r="M15" s="55"/>
      <c r="N15" s="55"/>
      <c r="O15" s="55"/>
    </row>
    <row r="16" spans="1:15" x14ac:dyDescent="0.35">
      <c r="A16" s="6" t="s">
        <v>38</v>
      </c>
      <c r="B16" s="7" t="s">
        <v>58</v>
      </c>
      <c r="C16" s="7">
        <v>13.125299999999999</v>
      </c>
      <c r="D16" s="7">
        <v>13.138299999999999</v>
      </c>
      <c r="E16" s="15">
        <f t="shared" si="0"/>
        <v>13.131799999999998</v>
      </c>
      <c r="G16" s="16">
        <f t="shared" si="1"/>
        <v>7.6151022708234983E-2</v>
      </c>
      <c r="I16" s="55"/>
      <c r="J16" s="55"/>
      <c r="K16" s="55"/>
      <c r="L16" s="55"/>
      <c r="M16" s="55"/>
      <c r="N16" s="55"/>
      <c r="O16" s="55"/>
    </row>
    <row r="17" spans="1:19" x14ac:dyDescent="0.35">
      <c r="A17" s="6" t="s">
        <v>39</v>
      </c>
      <c r="B17" s="7" t="s">
        <v>59</v>
      </c>
      <c r="C17" s="7">
        <v>1.6939</v>
      </c>
      <c r="D17" s="7">
        <v>1.6949000000000001</v>
      </c>
      <c r="E17" s="17">
        <f t="shared" si="0"/>
        <v>1.6943999999999999</v>
      </c>
      <c r="G17" s="18">
        <f t="shared" si="1"/>
        <v>0.59017941454202083</v>
      </c>
      <c r="I17" s="55"/>
      <c r="J17" s="55"/>
      <c r="K17" s="55"/>
      <c r="L17" s="55"/>
      <c r="M17" s="55"/>
      <c r="N17" s="55"/>
      <c r="O17" s="55"/>
    </row>
    <row r="18" spans="1:19" x14ac:dyDescent="0.35">
      <c r="A18" s="6" t="s">
        <v>40</v>
      </c>
      <c r="B18" s="7" t="s">
        <v>60</v>
      </c>
      <c r="C18" s="7">
        <v>49.927100000000003</v>
      </c>
      <c r="D18" s="7">
        <v>49.976500000000001</v>
      </c>
      <c r="E18" s="19">
        <f>IF(G18=0," ",1/G18)</f>
        <v>2.0019298603854114E-2</v>
      </c>
      <c r="G18" s="20">
        <f>SUM(C18:D18)/2</f>
        <v>49.951800000000006</v>
      </c>
      <c r="I18" s="55"/>
      <c r="J18" s="55"/>
      <c r="K18" s="55"/>
      <c r="L18" s="55"/>
      <c r="M18" s="55"/>
      <c r="N18" s="55"/>
      <c r="O18" s="55"/>
    </row>
    <row r="19" spans="1:19" x14ac:dyDescent="0.35">
      <c r="A19" s="6" t="s">
        <v>41</v>
      </c>
      <c r="B19" s="7" t="s">
        <v>61</v>
      </c>
      <c r="C19" s="7">
        <v>6.3141999999999996</v>
      </c>
      <c r="D19" s="7">
        <v>6.3197000000000001</v>
      </c>
      <c r="E19" s="21">
        <f>IF(G19=0," ",1/G19)</f>
        <v>0.15830424492832776</v>
      </c>
      <c r="G19" s="22">
        <f>SUM(C19:D19)/2</f>
        <v>6.3169500000000003</v>
      </c>
      <c r="I19" s="55"/>
      <c r="J19" s="55"/>
      <c r="K19" s="55"/>
      <c r="L19" s="56"/>
      <c r="M19" s="56"/>
      <c r="N19" s="56"/>
      <c r="O19" s="55"/>
    </row>
    <row r="20" spans="1:19" x14ac:dyDescent="0.35">
      <c r="A20" s="6" t="s">
        <v>42</v>
      </c>
      <c r="B20" s="7" t="s">
        <v>62</v>
      </c>
      <c r="C20" s="7">
        <v>31.0976</v>
      </c>
      <c r="D20" s="7">
        <v>31.184699999999999</v>
      </c>
      <c r="E20" s="21">
        <f>IF(G20=0," ",1/G20)</f>
        <v>3.2111852002896492E-2</v>
      </c>
      <c r="G20" s="22">
        <f>SUM(C20:D20)/2</f>
        <v>31.14115</v>
      </c>
      <c r="I20" s="55"/>
      <c r="J20" s="55"/>
      <c r="K20" s="55"/>
      <c r="L20" s="56"/>
      <c r="M20" s="56"/>
      <c r="N20" s="56"/>
      <c r="O20" s="55"/>
    </row>
    <row r="21" spans="1:19" x14ac:dyDescent="0.35">
      <c r="A21" s="6" t="s">
        <v>43</v>
      </c>
      <c r="B21" s="7" t="s">
        <v>63</v>
      </c>
      <c r="C21" s="7">
        <v>120.11409999999999</v>
      </c>
      <c r="D21" s="7">
        <v>120.2012</v>
      </c>
      <c r="E21" s="21">
        <f>IF(G21=0," ",1/G21)</f>
        <v>8.3223997806215425E-3</v>
      </c>
      <c r="G21" s="22">
        <f>SUM(C21:D21)/2</f>
        <v>120.15764999999999</v>
      </c>
      <c r="I21" s="55"/>
      <c r="J21" s="55"/>
      <c r="K21" s="55"/>
      <c r="L21" s="56"/>
      <c r="M21" s="56"/>
      <c r="N21" s="56"/>
      <c r="O21" s="55"/>
      <c r="P21" s="56"/>
    </row>
    <row r="22" spans="1:19" x14ac:dyDescent="0.35">
      <c r="A22" s="6" t="s">
        <v>44</v>
      </c>
      <c r="B22" s="7" t="s">
        <v>64</v>
      </c>
      <c r="C22" s="7">
        <v>2069.9749999999999</v>
      </c>
      <c r="D22" s="7">
        <v>2124.5645</v>
      </c>
      <c r="E22" s="23">
        <f>IF(G22=0," ",1/G22)</f>
        <v>4.7681038645601024E-4</v>
      </c>
      <c r="G22" s="24">
        <f>SUM(C22:D22)/2</f>
        <v>2097.2697499999999</v>
      </c>
      <c r="I22" s="55"/>
      <c r="J22" s="55"/>
      <c r="K22" s="55"/>
      <c r="L22" s="55"/>
      <c r="M22" s="55"/>
      <c r="N22" s="55"/>
      <c r="O22" s="55"/>
      <c r="P22" s="56"/>
      <c r="Q22" s="56"/>
      <c r="R22" s="56"/>
      <c r="S22" s="56"/>
    </row>
    <row r="23" spans="1:19" x14ac:dyDescent="0.35">
      <c r="A23" s="6" t="s">
        <v>45</v>
      </c>
      <c r="B23" s="7" t="s">
        <v>65</v>
      </c>
      <c r="C23" s="7">
        <v>1.29E-2</v>
      </c>
      <c r="D23" s="7">
        <v>1.29E-2</v>
      </c>
      <c r="E23" s="17">
        <f>SUM(C23:D23)/2</f>
        <v>1.29E-2</v>
      </c>
      <c r="G23" s="18">
        <f>IF(E23=0," ",1/E23)</f>
        <v>77.519379844961236</v>
      </c>
      <c r="J23" s="55"/>
      <c r="K23" s="55"/>
      <c r="L23" s="55"/>
      <c r="M23" s="56"/>
      <c r="N23" s="55"/>
      <c r="O23" s="55"/>
      <c r="P23" s="56"/>
    </row>
    <row r="24" spans="1:19" x14ac:dyDescent="0.35">
      <c r="J24" s="55"/>
      <c r="K24" s="55"/>
      <c r="L24" s="55"/>
      <c r="N24" s="55"/>
      <c r="O24" s="55"/>
    </row>
    <row r="25" spans="1:19" x14ac:dyDescent="0.35">
      <c r="L25" s="55"/>
      <c r="N25" s="55"/>
    </row>
    <row r="26" spans="1:19" x14ac:dyDescent="0.35">
      <c r="L26" s="55"/>
    </row>
    <row r="27" spans="1:19" x14ac:dyDescent="0.35">
      <c r="L27" s="55"/>
    </row>
    <row r="28" spans="1:19" x14ac:dyDescent="0.35">
      <c r="L28" s="55"/>
    </row>
    <row r="29" spans="1:19" x14ac:dyDescent="0.35">
      <c r="L29" s="55"/>
    </row>
    <row r="30" spans="1:19" x14ac:dyDescent="0.35">
      <c r="L30" s="55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6"/>
  <sheetViews>
    <sheetView workbookViewId="0">
      <selection activeCell="B2" sqref="B2"/>
    </sheetView>
  </sheetViews>
  <sheetFormatPr defaultRowHeight="14.5" x14ac:dyDescent="0.35"/>
  <cols>
    <col min="1" max="1" width="28.81640625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3.26953125" customWidth="1"/>
    <col min="7" max="7" width="11.54296875" bestFit="1" customWidth="1"/>
    <col min="11" max="11" width="9.81640625" bestFit="1" customWidth="1"/>
  </cols>
  <sheetData>
    <row r="1" spans="1:15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5" x14ac:dyDescent="0.35">
      <c r="A2" s="59">
        <f>('07-07'!A2)+6</f>
        <v>46216</v>
      </c>
      <c r="B2" s="12"/>
      <c r="C2" s="13"/>
      <c r="I2" s="55"/>
    </row>
    <row r="3" spans="1:15" x14ac:dyDescent="0.35">
      <c r="A3" s="5"/>
      <c r="B3" s="5"/>
      <c r="C3" s="5"/>
      <c r="E3" s="11" t="s">
        <v>20</v>
      </c>
      <c r="F3" s="10"/>
      <c r="G3" s="9" t="s">
        <v>21</v>
      </c>
      <c r="I3" s="55"/>
      <c r="J3" s="55"/>
      <c r="L3" s="55"/>
    </row>
    <row r="4" spans="1:15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J4" s="55"/>
      <c r="K4" s="55"/>
      <c r="L4" s="55"/>
    </row>
    <row r="5" spans="1:15" x14ac:dyDescent="0.35">
      <c r="A5" s="6" t="s">
        <v>27</v>
      </c>
      <c r="B5" s="7" t="s">
        <v>47</v>
      </c>
      <c r="C5" s="7">
        <v>11.484299999999999</v>
      </c>
      <c r="D5" s="7">
        <v>11.495699999999999</v>
      </c>
      <c r="E5" s="15">
        <f t="shared" ref="E5:E17" si="0">SUM(C5:D5)/2</f>
        <v>11.489999999999998</v>
      </c>
      <c r="G5" s="16">
        <f>IF(E5=0," ",1/E5)</f>
        <v>8.7032201914708451E-2</v>
      </c>
      <c r="I5" s="55"/>
      <c r="J5" s="55"/>
      <c r="K5" s="55"/>
      <c r="L5" s="55"/>
      <c r="M5" s="8"/>
      <c r="N5" s="8"/>
      <c r="O5" s="55"/>
    </row>
    <row r="6" spans="1:15" x14ac:dyDescent="0.35">
      <c r="A6" s="6" t="s">
        <v>28</v>
      </c>
      <c r="B6" s="7" t="s">
        <v>48</v>
      </c>
      <c r="C6" s="7">
        <v>15.343</v>
      </c>
      <c r="D6" s="7">
        <v>15.359500000000001</v>
      </c>
      <c r="E6" s="15">
        <f t="shared" si="0"/>
        <v>15.35125</v>
      </c>
      <c r="G6" s="16">
        <f t="shared" ref="G6:G17" si="1">IF(E6=0," ",1/E6)</f>
        <v>6.5141275140460878E-2</v>
      </c>
      <c r="I6" s="55"/>
      <c r="J6" s="55"/>
      <c r="K6" s="55"/>
      <c r="L6" s="55"/>
      <c r="M6" s="8"/>
      <c r="N6" s="8"/>
      <c r="O6" s="55"/>
    </row>
    <row r="7" spans="1:15" x14ac:dyDescent="0.35">
      <c r="A7" s="6" t="s">
        <v>29</v>
      </c>
      <c r="B7" s="7" t="s">
        <v>49</v>
      </c>
      <c r="C7" s="7">
        <v>14.115</v>
      </c>
      <c r="D7" s="7">
        <v>14.1275</v>
      </c>
      <c r="E7" s="17">
        <f t="shared" si="0"/>
        <v>14.12125</v>
      </c>
      <c r="G7" s="18">
        <f t="shared" si="1"/>
        <v>7.0815260688678411E-2</v>
      </c>
      <c r="I7" s="55"/>
      <c r="J7" s="55"/>
      <c r="K7" s="55"/>
      <c r="L7" s="55"/>
      <c r="M7" s="8"/>
      <c r="N7" s="8"/>
      <c r="O7" s="55"/>
    </row>
    <row r="8" spans="1:15" x14ac:dyDescent="0.35">
      <c r="A8" s="6" t="s">
        <v>30</v>
      </c>
      <c r="B8" s="7" t="s">
        <v>50</v>
      </c>
      <c r="C8" s="7">
        <v>7.9461000000000004</v>
      </c>
      <c r="D8" s="7">
        <v>7.9561999999999999</v>
      </c>
      <c r="E8" s="17">
        <f t="shared" si="0"/>
        <v>7.9511500000000002</v>
      </c>
      <c r="G8" s="18">
        <f t="shared" si="1"/>
        <v>0.12576797067090922</v>
      </c>
      <c r="I8" s="55"/>
      <c r="J8" s="55"/>
      <c r="K8" s="55"/>
      <c r="L8" s="55"/>
      <c r="M8" s="8"/>
      <c r="N8" s="8"/>
      <c r="O8" s="55"/>
    </row>
    <row r="9" spans="1:15" x14ac:dyDescent="0.35">
      <c r="A9" s="6" t="s">
        <v>31</v>
      </c>
      <c r="B9" s="7" t="s">
        <v>51</v>
      </c>
      <c r="C9" s="7">
        <v>8.1163000000000007</v>
      </c>
      <c r="D9" s="7">
        <v>8.1241000000000003</v>
      </c>
      <c r="E9" s="17">
        <f t="shared" si="0"/>
        <v>8.1202000000000005</v>
      </c>
      <c r="G9" s="18">
        <f t="shared" si="1"/>
        <v>0.1231496761163518</v>
      </c>
      <c r="I9" s="55"/>
      <c r="J9" s="55"/>
      <c r="K9" s="55"/>
      <c r="L9" s="55"/>
      <c r="M9" s="8"/>
      <c r="N9" s="8"/>
      <c r="O9" s="55"/>
    </row>
    <row r="10" spans="1:15" x14ac:dyDescent="0.35">
      <c r="A10" s="6" t="s">
        <v>32</v>
      </c>
      <c r="B10" s="7" t="s">
        <v>52</v>
      </c>
      <c r="C10" s="7">
        <v>1.7492000000000001</v>
      </c>
      <c r="D10" s="7">
        <v>1.7508999999999999</v>
      </c>
      <c r="E10" s="17">
        <f t="shared" si="0"/>
        <v>1.7500499999999999</v>
      </c>
      <c r="G10" s="18">
        <f t="shared" si="1"/>
        <v>0.57141224536441815</v>
      </c>
      <c r="I10" s="55"/>
      <c r="J10" s="55"/>
      <c r="K10" s="55"/>
      <c r="L10" s="55"/>
      <c r="M10" s="8"/>
      <c r="O10" s="55"/>
    </row>
    <row r="11" spans="1:15" x14ac:dyDescent="0.35">
      <c r="A11" s="6" t="s">
        <v>33</v>
      </c>
      <c r="B11" s="7" t="s">
        <v>53</v>
      </c>
      <c r="C11" s="7">
        <v>7.0699999999999999E-2</v>
      </c>
      <c r="D11" s="7">
        <v>7.0800000000000002E-2</v>
      </c>
      <c r="E11" s="17">
        <f t="shared" si="0"/>
        <v>7.0750000000000007E-2</v>
      </c>
      <c r="G11" s="18">
        <f t="shared" si="1"/>
        <v>14.134275618374557</v>
      </c>
      <c r="I11" s="55"/>
      <c r="J11" s="55"/>
      <c r="K11" s="55"/>
      <c r="L11" s="55"/>
      <c r="M11" s="8"/>
      <c r="N11" s="8"/>
      <c r="O11" s="55"/>
    </row>
    <row r="12" spans="1:15" x14ac:dyDescent="0.35">
      <c r="A12" s="6" t="s">
        <v>34</v>
      </c>
      <c r="B12" s="7" t="s">
        <v>54</v>
      </c>
      <c r="C12" s="7">
        <v>6.6082000000000001</v>
      </c>
      <c r="D12" s="7">
        <v>6.6153000000000004</v>
      </c>
      <c r="E12" s="17">
        <f t="shared" si="0"/>
        <v>6.6117500000000007</v>
      </c>
      <c r="G12" s="18">
        <f t="shared" si="1"/>
        <v>0.15124588800241992</v>
      </c>
      <c r="I12" s="55"/>
      <c r="J12" s="55"/>
      <c r="K12" s="55"/>
      <c r="L12" s="55"/>
      <c r="M12" s="8"/>
      <c r="N12" s="8"/>
      <c r="O12" s="55"/>
    </row>
    <row r="13" spans="1:15" x14ac:dyDescent="0.35">
      <c r="A13" s="6" t="s">
        <v>35</v>
      </c>
      <c r="B13" s="7" t="s">
        <v>55</v>
      </c>
      <c r="C13" s="7">
        <v>1.1735</v>
      </c>
      <c r="D13" s="7">
        <v>1.1742999999999999</v>
      </c>
      <c r="E13" s="17">
        <f t="shared" si="0"/>
        <v>1.1738999999999999</v>
      </c>
      <c r="G13" s="18">
        <f t="shared" si="1"/>
        <v>0.85186131697759604</v>
      </c>
      <c r="I13" s="55"/>
      <c r="J13" s="55"/>
      <c r="K13" s="55"/>
      <c r="L13" s="55"/>
      <c r="M13" s="8"/>
      <c r="N13" s="8"/>
      <c r="O13" s="55"/>
    </row>
    <row r="14" spans="1:15" x14ac:dyDescent="0.35">
      <c r="A14" s="6" t="s">
        <v>36</v>
      </c>
      <c r="B14" s="7" t="s">
        <v>56</v>
      </c>
      <c r="C14" s="7">
        <v>1.1835</v>
      </c>
      <c r="D14" s="7">
        <v>1.1843999999999999</v>
      </c>
      <c r="E14" s="17">
        <f t="shared" si="0"/>
        <v>1.1839499999999998</v>
      </c>
      <c r="G14" s="18">
        <f t="shared" si="1"/>
        <v>0.84463026310232703</v>
      </c>
      <c r="I14" s="55"/>
      <c r="J14" s="55"/>
      <c r="K14" s="55"/>
      <c r="L14" s="55"/>
      <c r="M14" s="8"/>
      <c r="N14" s="8"/>
      <c r="O14" s="55"/>
    </row>
    <row r="15" spans="1:15" x14ac:dyDescent="0.35">
      <c r="A15" s="6" t="s">
        <v>37</v>
      </c>
      <c r="B15" s="7" t="s">
        <v>57</v>
      </c>
      <c r="C15" s="7">
        <v>0.69879999999999998</v>
      </c>
      <c r="D15" s="7">
        <v>0.69920000000000004</v>
      </c>
      <c r="E15" s="17">
        <f t="shared" si="0"/>
        <v>0.69900000000000007</v>
      </c>
      <c r="G15" s="18">
        <f t="shared" si="1"/>
        <v>1.4306151645207439</v>
      </c>
      <c r="I15" s="55"/>
      <c r="J15" s="55"/>
      <c r="K15" s="55"/>
      <c r="L15" s="55"/>
      <c r="M15" s="8"/>
      <c r="N15" s="8"/>
      <c r="O15" s="55"/>
    </row>
    <row r="16" spans="1:15" x14ac:dyDescent="0.35">
      <c r="A16" s="6" t="s">
        <v>38</v>
      </c>
      <c r="B16" s="7" t="s">
        <v>58</v>
      </c>
      <c r="C16" s="7">
        <v>13.0768</v>
      </c>
      <c r="D16" s="7">
        <v>13.0886</v>
      </c>
      <c r="E16" s="15">
        <f t="shared" si="0"/>
        <v>13.082699999999999</v>
      </c>
      <c r="G16" s="16">
        <f t="shared" si="1"/>
        <v>7.6436821145482212E-2</v>
      </c>
      <c r="I16" s="55"/>
      <c r="J16" s="55"/>
      <c r="K16" s="55"/>
      <c r="L16" s="55"/>
      <c r="M16" s="8"/>
      <c r="N16" s="8"/>
      <c r="O16" s="55"/>
    </row>
    <row r="17" spans="1:20" x14ac:dyDescent="0.35">
      <c r="A17" s="6" t="s">
        <v>39</v>
      </c>
      <c r="B17" s="7" t="s">
        <v>59</v>
      </c>
      <c r="C17" s="7">
        <v>1.6942999999999999</v>
      </c>
      <c r="D17" s="7">
        <v>1.6952</v>
      </c>
      <c r="E17" s="17">
        <f t="shared" si="0"/>
        <v>1.69475</v>
      </c>
      <c r="G17" s="18">
        <f t="shared" si="1"/>
        <v>0.59005753060923438</v>
      </c>
      <c r="I17" s="55"/>
      <c r="J17" s="55"/>
      <c r="K17" s="55"/>
      <c r="L17" s="55"/>
      <c r="M17" s="8"/>
      <c r="N17" s="8"/>
      <c r="O17" s="55"/>
    </row>
    <row r="18" spans="1:20" x14ac:dyDescent="0.35">
      <c r="A18" s="6" t="s">
        <v>40</v>
      </c>
      <c r="B18" s="7" t="s">
        <v>60</v>
      </c>
      <c r="C18" s="7">
        <v>50.116700000000002</v>
      </c>
      <c r="D18" s="7">
        <v>50.161900000000003</v>
      </c>
      <c r="E18" s="19">
        <f>IF(G18=0," ",1/G18)</f>
        <v>1.9944434804634287E-2</v>
      </c>
      <c r="G18" s="20">
        <f>SUM(C18:D18)/2</f>
        <v>50.139300000000006</v>
      </c>
      <c r="I18" s="55"/>
      <c r="J18" s="55"/>
      <c r="K18" s="55"/>
      <c r="L18" s="55"/>
      <c r="M18" s="8"/>
      <c r="N18" s="8"/>
      <c r="O18" s="55"/>
    </row>
    <row r="19" spans="1:20" x14ac:dyDescent="0.35">
      <c r="A19" s="6" t="s">
        <v>41</v>
      </c>
      <c r="B19" s="7" t="s">
        <v>61</v>
      </c>
      <c r="C19" s="7">
        <v>6.3304</v>
      </c>
      <c r="D19" s="7">
        <v>6.4029999999999996</v>
      </c>
      <c r="E19" s="21">
        <f>IF(G19=0," ",1/G19)</f>
        <v>0.1570672404856519</v>
      </c>
      <c r="G19" s="22">
        <f>SUM(C19:D19)/2</f>
        <v>6.3666999999999998</v>
      </c>
      <c r="I19" s="55"/>
      <c r="J19" s="55"/>
      <c r="K19" s="55"/>
      <c r="L19" s="56"/>
      <c r="M19" s="8"/>
      <c r="N19" s="8"/>
      <c r="O19" s="55"/>
    </row>
    <row r="20" spans="1:20" x14ac:dyDescent="0.35">
      <c r="A20" s="6" t="s">
        <v>42</v>
      </c>
      <c r="B20" s="7" t="s">
        <v>62</v>
      </c>
      <c r="C20" s="7">
        <v>31.070499999999999</v>
      </c>
      <c r="D20" s="7">
        <v>31.157499999999999</v>
      </c>
      <c r="E20" s="21">
        <f>IF(G20=0," ",1/G20)</f>
        <v>3.213987272610401E-2</v>
      </c>
      <c r="G20" s="22">
        <f>SUM(C20:D20)/2</f>
        <v>31.113999999999997</v>
      </c>
      <c r="I20" s="55"/>
      <c r="J20" s="55"/>
      <c r="K20" s="55"/>
      <c r="L20" s="56"/>
      <c r="M20" s="8"/>
      <c r="N20" s="8"/>
      <c r="O20" s="55"/>
    </row>
    <row r="21" spans="1:20" x14ac:dyDescent="0.35">
      <c r="A21" s="6" t="s">
        <v>43</v>
      </c>
      <c r="B21" s="7" t="s">
        <v>63</v>
      </c>
      <c r="C21" s="7">
        <v>120.0975</v>
      </c>
      <c r="D21" s="7">
        <v>120.1854</v>
      </c>
      <c r="E21" s="21">
        <f>IF(G21=0," ",1/G21)</f>
        <v>8.3235219817972897E-3</v>
      </c>
      <c r="G21" s="22">
        <f>SUM(C21:D21)/2</f>
        <v>120.14144999999999</v>
      </c>
      <c r="I21" s="55"/>
      <c r="J21" s="55"/>
      <c r="K21" s="55"/>
      <c r="L21" s="56"/>
      <c r="M21" s="8"/>
      <c r="N21" s="8"/>
      <c r="O21" s="55"/>
      <c r="P21" s="56"/>
    </row>
    <row r="22" spans="1:20" x14ac:dyDescent="0.35">
      <c r="A22" s="6" t="s">
        <v>44</v>
      </c>
      <c r="B22" s="7" t="s">
        <v>64</v>
      </c>
      <c r="C22" s="7">
        <v>2068.9468000000002</v>
      </c>
      <c r="D22" s="7">
        <v>2122.7154</v>
      </c>
      <c r="E22" s="23">
        <f>IF(G22=0," ",1/G22)</f>
        <v>4.7713768537932272E-4</v>
      </c>
      <c r="G22" s="24">
        <f>SUM(C22:D22)/2</f>
        <v>2095.8311000000003</v>
      </c>
      <c r="I22" s="55"/>
      <c r="K22" s="55"/>
      <c r="L22" s="55"/>
      <c r="M22" s="8"/>
      <c r="N22" s="8"/>
      <c r="O22" s="55"/>
      <c r="R22" s="56"/>
      <c r="S22" s="56"/>
      <c r="T22" s="56"/>
    </row>
    <row r="23" spans="1:20" x14ac:dyDescent="0.35">
      <c r="A23" s="6" t="s">
        <v>45</v>
      </c>
      <c r="B23" s="7" t="s">
        <v>65</v>
      </c>
      <c r="C23" s="7">
        <v>1.29E-2</v>
      </c>
      <c r="D23" s="7">
        <v>1.29E-2</v>
      </c>
      <c r="E23" s="17">
        <f>SUM(C23:D23)/2</f>
        <v>1.29E-2</v>
      </c>
      <c r="G23" s="18">
        <f>IF(E23=0," ",1/E23)</f>
        <v>77.519379844961236</v>
      </c>
      <c r="K23" s="55"/>
      <c r="L23" s="55"/>
      <c r="M23" s="8"/>
      <c r="N23" s="8"/>
      <c r="O23" s="55"/>
      <c r="P23" s="56"/>
      <c r="Q23" s="56"/>
    </row>
    <row r="24" spans="1:20" x14ac:dyDescent="0.35">
      <c r="K24" s="55"/>
      <c r="L24" s="55"/>
      <c r="N24" s="55"/>
    </row>
    <row r="25" spans="1:20" x14ac:dyDescent="0.35">
      <c r="K25" s="55"/>
      <c r="L25" s="55"/>
    </row>
    <row r="26" spans="1:20" x14ac:dyDescent="0.35">
      <c r="L26" s="5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8"/>
  <sheetViews>
    <sheetView workbookViewId="0">
      <selection activeCell="B2" sqref="B2"/>
    </sheetView>
  </sheetViews>
  <sheetFormatPr defaultRowHeight="14.5" x14ac:dyDescent="0.35"/>
  <cols>
    <col min="1" max="1" width="27" bestFit="1" customWidth="1"/>
    <col min="2" max="2" width="10.26953125" bestFit="1" customWidth="1"/>
    <col min="3" max="4" width="11.54296875" bestFit="1" customWidth="1"/>
    <col min="5" max="5" width="11.54296875" style="1" bestFit="1" customWidth="1"/>
    <col min="6" max="6" width="3.26953125" customWidth="1"/>
    <col min="7" max="7" width="11.54296875" bestFit="1" customWidth="1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('07-07'!A2)+7</f>
        <v>46217</v>
      </c>
      <c r="B2" s="12"/>
      <c r="C2" s="13"/>
      <c r="I2" s="55"/>
    </row>
    <row r="3" spans="1:16" x14ac:dyDescent="0.35">
      <c r="A3" s="5"/>
      <c r="B3" s="5"/>
      <c r="C3" s="5"/>
      <c r="E3" s="11" t="s">
        <v>20</v>
      </c>
      <c r="F3" s="10"/>
      <c r="G3" s="9" t="s">
        <v>21</v>
      </c>
      <c r="I3" s="55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G4" s="4" t="s">
        <v>14</v>
      </c>
      <c r="I4" s="55"/>
      <c r="K4" s="55"/>
      <c r="L4" s="55"/>
      <c r="N4" s="55"/>
      <c r="P4" s="55"/>
    </row>
    <row r="5" spans="1:16" x14ac:dyDescent="0.35">
      <c r="A5" s="6" t="s">
        <v>27</v>
      </c>
      <c r="B5" s="7" t="s">
        <v>47</v>
      </c>
      <c r="C5" s="7">
        <v>11.510199999999999</v>
      </c>
      <c r="D5" s="7">
        <v>11.521800000000001</v>
      </c>
      <c r="E5" s="15">
        <f t="shared" ref="E5:E17" si="0">SUM(C5:D5)/2</f>
        <v>11.516</v>
      </c>
      <c r="G5" s="16">
        <f>IF(E5=0," ",1/E5)</f>
        <v>8.6835706842653695E-2</v>
      </c>
      <c r="I5" s="55"/>
      <c r="K5" s="55"/>
      <c r="L5" s="55"/>
      <c r="M5" s="8"/>
      <c r="N5" s="8"/>
      <c r="P5" s="55"/>
    </row>
    <row r="6" spans="1:16" x14ac:dyDescent="0.35">
      <c r="A6" s="6" t="s">
        <v>28</v>
      </c>
      <c r="B6" s="7" t="s">
        <v>48</v>
      </c>
      <c r="C6" s="7">
        <v>15.4053</v>
      </c>
      <c r="D6" s="7">
        <v>15.4207</v>
      </c>
      <c r="E6" s="15">
        <f t="shared" si="0"/>
        <v>15.413</v>
      </c>
      <c r="G6" s="16">
        <f t="shared" ref="G6:G17" si="1">IF(E6=0," ",1/E6)</f>
        <v>6.4880295854149089E-2</v>
      </c>
      <c r="I6" s="55"/>
      <c r="J6" s="55"/>
      <c r="K6" s="55"/>
      <c r="L6" s="55"/>
      <c r="M6" s="8"/>
      <c r="N6" s="8"/>
      <c r="P6" s="55"/>
    </row>
    <row r="7" spans="1:16" x14ac:dyDescent="0.35">
      <c r="A7" s="6" t="s">
        <v>29</v>
      </c>
      <c r="B7" s="7" t="s">
        <v>49</v>
      </c>
      <c r="C7" s="7">
        <v>14.231199999999999</v>
      </c>
      <c r="D7" s="7">
        <v>14.244199999999999</v>
      </c>
      <c r="E7" s="17">
        <f t="shared" si="0"/>
        <v>14.2377</v>
      </c>
      <c r="G7" s="18">
        <f t="shared" si="1"/>
        <v>7.0236063409118046E-2</v>
      </c>
      <c r="I7" s="55"/>
      <c r="J7" s="55"/>
      <c r="K7" s="55"/>
      <c r="L7" s="55"/>
      <c r="M7" s="8"/>
      <c r="N7" s="8"/>
      <c r="P7" s="55"/>
    </row>
    <row r="8" spans="1:16" x14ac:dyDescent="0.35">
      <c r="A8" s="6" t="s">
        <v>30</v>
      </c>
      <c r="B8" s="7" t="s">
        <v>50</v>
      </c>
      <c r="C8" s="7">
        <v>8.0276999999999994</v>
      </c>
      <c r="D8" s="7">
        <v>8.0357000000000003</v>
      </c>
      <c r="E8" s="17">
        <f t="shared" si="0"/>
        <v>8.0317000000000007</v>
      </c>
      <c r="G8" s="18">
        <f t="shared" si="1"/>
        <v>0.12450664242937359</v>
      </c>
      <c r="I8" s="55"/>
      <c r="J8" s="55"/>
      <c r="K8" s="55"/>
      <c r="L8" s="55"/>
      <c r="M8" s="8"/>
      <c r="N8" s="8"/>
      <c r="P8" s="55"/>
    </row>
    <row r="9" spans="1:16" x14ac:dyDescent="0.35">
      <c r="A9" s="6" t="s">
        <v>31</v>
      </c>
      <c r="B9" s="7" t="s">
        <v>51</v>
      </c>
      <c r="C9" s="7">
        <v>8.1834000000000007</v>
      </c>
      <c r="D9" s="7">
        <v>8.1906999999999996</v>
      </c>
      <c r="E9" s="17">
        <f t="shared" si="0"/>
        <v>8.1870499999999993</v>
      </c>
      <c r="G9" s="18">
        <f t="shared" si="1"/>
        <v>0.12214411784464491</v>
      </c>
      <c r="I9" s="55"/>
      <c r="J9" s="55"/>
      <c r="K9" s="55"/>
      <c r="L9" s="55"/>
      <c r="M9" s="8"/>
      <c r="N9" s="8"/>
      <c r="P9" s="55"/>
    </row>
    <row r="10" spans="1:16" x14ac:dyDescent="0.35">
      <c r="A10" s="6" t="s">
        <v>32</v>
      </c>
      <c r="B10" s="7" t="s">
        <v>52</v>
      </c>
      <c r="C10" s="7">
        <v>1.76</v>
      </c>
      <c r="D10" s="7">
        <v>1.7616000000000001</v>
      </c>
      <c r="E10" s="17">
        <f t="shared" si="0"/>
        <v>1.7608000000000001</v>
      </c>
      <c r="G10" s="18">
        <f t="shared" si="1"/>
        <v>0.56792367105860964</v>
      </c>
      <c r="I10" s="55"/>
      <c r="J10" s="55"/>
      <c r="K10" s="55"/>
      <c r="L10" s="55"/>
      <c r="M10" s="8"/>
      <c r="N10" s="8"/>
      <c r="P10" s="55"/>
    </row>
    <row r="11" spans="1:16" x14ac:dyDescent="0.35">
      <c r="A11" s="6" t="s">
        <v>33</v>
      </c>
      <c r="B11" s="7" t="s">
        <v>53</v>
      </c>
      <c r="C11" s="7">
        <v>7.0999999999999994E-2</v>
      </c>
      <c r="D11" s="7">
        <v>7.1099999999999997E-2</v>
      </c>
      <c r="E11" s="17">
        <f t="shared" si="0"/>
        <v>7.1050000000000002E-2</v>
      </c>
      <c r="G11" s="18">
        <f t="shared" si="1"/>
        <v>14.074595355383533</v>
      </c>
      <c r="I11" s="55"/>
      <c r="J11" s="55"/>
      <c r="K11" s="55"/>
      <c r="L11" s="55"/>
      <c r="M11" s="8"/>
      <c r="N11" s="8"/>
      <c r="P11" s="55"/>
    </row>
    <row r="12" spans="1:16" x14ac:dyDescent="0.35">
      <c r="A12" s="6" t="s">
        <v>34</v>
      </c>
      <c r="B12" s="7" t="s">
        <v>54</v>
      </c>
      <c r="C12" s="7">
        <v>6.6844000000000001</v>
      </c>
      <c r="D12" s="7">
        <v>6.6925999999999997</v>
      </c>
      <c r="E12" s="17">
        <f t="shared" si="0"/>
        <v>6.6884999999999994</v>
      </c>
      <c r="G12" s="18">
        <f t="shared" si="1"/>
        <v>0.14951035359198625</v>
      </c>
      <c r="I12" s="55"/>
      <c r="J12" s="55"/>
      <c r="K12" s="55"/>
      <c r="L12" s="55"/>
      <c r="M12" s="8"/>
      <c r="N12" s="8"/>
      <c r="P12" s="55"/>
    </row>
    <row r="13" spans="1:16" x14ac:dyDescent="0.35">
      <c r="A13" s="6" t="s">
        <v>35</v>
      </c>
      <c r="B13" s="7" t="s">
        <v>55</v>
      </c>
      <c r="C13" s="7">
        <v>1.1888000000000001</v>
      </c>
      <c r="D13" s="7">
        <v>1.1896</v>
      </c>
      <c r="E13" s="17">
        <f t="shared" si="0"/>
        <v>1.1892</v>
      </c>
      <c r="G13" s="18">
        <f t="shared" si="1"/>
        <v>0.84090144635048769</v>
      </c>
      <c r="I13" s="55"/>
      <c r="J13" s="55"/>
      <c r="K13" s="55"/>
      <c r="L13" s="55"/>
      <c r="M13" s="8"/>
      <c r="N13" s="8"/>
      <c r="P13" s="55"/>
    </row>
    <row r="14" spans="1:16" x14ac:dyDescent="0.35">
      <c r="A14" s="6" t="s">
        <v>36</v>
      </c>
      <c r="B14" s="7" t="s">
        <v>56</v>
      </c>
      <c r="C14" s="7">
        <v>1.1921999999999999</v>
      </c>
      <c r="D14" s="7">
        <v>1.1931</v>
      </c>
      <c r="E14" s="17">
        <f t="shared" si="0"/>
        <v>1.19265</v>
      </c>
      <c r="G14" s="18">
        <f t="shared" si="1"/>
        <v>0.83846895568691571</v>
      </c>
      <c r="I14" s="55"/>
      <c r="J14" s="55"/>
      <c r="K14" s="55"/>
      <c r="L14" s="55"/>
      <c r="M14" s="8"/>
      <c r="N14" s="8"/>
      <c r="P14" s="55"/>
    </row>
    <row r="15" spans="1:16" x14ac:dyDescent="0.35">
      <c r="A15" s="6" t="s">
        <v>37</v>
      </c>
      <c r="B15" s="7" t="s">
        <v>57</v>
      </c>
      <c r="C15" s="7">
        <v>0.70299999999999996</v>
      </c>
      <c r="D15" s="7">
        <v>0.70330000000000004</v>
      </c>
      <c r="E15" s="17">
        <f t="shared" si="0"/>
        <v>0.70314999999999994</v>
      </c>
      <c r="G15" s="18">
        <f t="shared" si="1"/>
        <v>1.4221716561188937</v>
      </c>
      <c r="I15" s="55"/>
      <c r="J15" s="55"/>
      <c r="K15" s="55"/>
      <c r="L15" s="55"/>
      <c r="M15" s="8"/>
      <c r="N15" s="8"/>
      <c r="P15" s="55"/>
    </row>
    <row r="16" spans="1:16" x14ac:dyDescent="0.35">
      <c r="A16" s="6" t="s">
        <v>38</v>
      </c>
      <c r="B16" s="7" t="s">
        <v>58</v>
      </c>
      <c r="C16" s="7">
        <v>13.1579</v>
      </c>
      <c r="D16" s="7">
        <v>13.168799999999999</v>
      </c>
      <c r="E16" s="15">
        <f t="shared" si="0"/>
        <v>13.163349999999999</v>
      </c>
      <c r="G16" s="16">
        <f t="shared" si="1"/>
        <v>7.5968503458466119E-2</v>
      </c>
      <c r="I16" s="55"/>
      <c r="J16" s="55"/>
      <c r="K16" s="55"/>
      <c r="L16" s="55"/>
      <c r="M16" s="8"/>
      <c r="N16" s="8"/>
      <c r="P16" s="55"/>
    </row>
    <row r="17" spans="1:21" x14ac:dyDescent="0.35">
      <c r="A17" s="6" t="s">
        <v>39</v>
      </c>
      <c r="B17" s="7" t="s">
        <v>59</v>
      </c>
      <c r="C17" s="7">
        <v>1.7003999999999999</v>
      </c>
      <c r="D17" s="7">
        <v>1.7012</v>
      </c>
      <c r="E17" s="17">
        <f t="shared" si="0"/>
        <v>1.7008000000000001</v>
      </c>
      <c r="G17" s="18">
        <f t="shared" si="1"/>
        <v>0.58795860771401687</v>
      </c>
      <c r="I17" s="55"/>
      <c r="J17" s="55"/>
      <c r="K17" s="55"/>
      <c r="L17" s="55"/>
      <c r="M17" s="8"/>
      <c r="N17" s="8"/>
      <c r="P17" s="55"/>
    </row>
    <row r="18" spans="1:21" x14ac:dyDescent="0.35">
      <c r="A18" s="6" t="s">
        <v>40</v>
      </c>
      <c r="B18" s="7" t="s">
        <v>60</v>
      </c>
      <c r="C18" s="7">
        <v>49.811399999999999</v>
      </c>
      <c r="D18" s="7">
        <v>49.852699999999999</v>
      </c>
      <c r="E18" s="19">
        <f>IF(G18=0," ",1/G18)</f>
        <v>2.0067406418158597E-2</v>
      </c>
      <c r="G18" s="20">
        <f>SUM(C18:D18)/2</f>
        <v>49.832049999999995</v>
      </c>
      <c r="I18" s="55"/>
      <c r="J18" s="55"/>
      <c r="K18" s="55"/>
      <c r="L18" s="55"/>
      <c r="M18" s="8"/>
      <c r="N18" s="8"/>
      <c r="P18" s="55"/>
    </row>
    <row r="19" spans="1:21" x14ac:dyDescent="0.35">
      <c r="A19" s="6" t="s">
        <v>41</v>
      </c>
      <c r="B19" s="7" t="s">
        <v>61</v>
      </c>
      <c r="C19" s="7">
        <v>6.3117999999999999</v>
      </c>
      <c r="D19" s="7">
        <v>6.3160999999999996</v>
      </c>
      <c r="E19" s="21">
        <f>IF(G19=0," ",1/G19)</f>
        <v>0.15837946135145195</v>
      </c>
      <c r="G19" s="22">
        <f>SUM(C19:D19)/2</f>
        <v>6.3139500000000002</v>
      </c>
      <c r="I19" s="55"/>
      <c r="J19" s="55"/>
      <c r="K19" s="55"/>
      <c r="L19" s="56"/>
      <c r="M19" s="8"/>
      <c r="N19" s="8"/>
      <c r="P19" s="55"/>
    </row>
    <row r="20" spans="1:21" x14ac:dyDescent="0.35">
      <c r="A20" s="6" t="s">
        <v>42</v>
      </c>
      <c r="B20" s="7" t="s">
        <v>62</v>
      </c>
      <c r="C20" s="7">
        <v>31.000299999999999</v>
      </c>
      <c r="D20" s="7">
        <v>31.087199999999999</v>
      </c>
      <c r="E20" s="21">
        <f>IF(G20=0," ",1/G20)</f>
        <v>3.2212603180994566E-2</v>
      </c>
      <c r="G20" s="22">
        <f>SUM(C20:D20)/2</f>
        <v>31.043749999999999</v>
      </c>
      <c r="I20" s="55"/>
      <c r="J20" s="55"/>
      <c r="K20" s="55"/>
      <c r="L20" s="56"/>
      <c r="M20" s="8"/>
      <c r="N20" s="8"/>
      <c r="P20" s="55"/>
    </row>
    <row r="21" spans="1:21" x14ac:dyDescent="0.35">
      <c r="A21" s="6" t="s">
        <v>43</v>
      </c>
      <c r="B21" s="7" t="s">
        <v>63</v>
      </c>
      <c r="C21" s="7">
        <v>119.98699999999999</v>
      </c>
      <c r="D21" s="7">
        <v>120.092</v>
      </c>
      <c r="E21" s="21">
        <f>IF(G21=0," ",1/G21)</f>
        <v>8.3305911804031178E-3</v>
      </c>
      <c r="G21" s="22">
        <f>SUM(C21:D21)/2</f>
        <v>120.0395</v>
      </c>
      <c r="I21" s="55"/>
      <c r="J21" s="55"/>
      <c r="K21" s="55"/>
      <c r="L21" s="55"/>
      <c r="M21" s="8"/>
      <c r="N21" s="8"/>
      <c r="O21" s="56"/>
      <c r="P21" s="55"/>
      <c r="Q21" s="56"/>
      <c r="S21" s="56"/>
      <c r="T21" s="56"/>
      <c r="U21" s="56"/>
    </row>
    <row r="22" spans="1:21" x14ac:dyDescent="0.35">
      <c r="A22" s="6" t="s">
        <v>44</v>
      </c>
      <c r="B22" s="7" t="s">
        <v>64</v>
      </c>
      <c r="C22" s="7">
        <v>2064.2757000000001</v>
      </c>
      <c r="D22" s="7">
        <v>2119.6596</v>
      </c>
      <c r="E22" s="23">
        <f>IF(G22=0," ",1/G22)</f>
        <v>4.7801886420184363E-4</v>
      </c>
      <c r="G22" s="24">
        <f>SUM(C22:D22)/2</f>
        <v>2091.96765</v>
      </c>
      <c r="I22" s="55"/>
      <c r="J22" s="55"/>
      <c r="K22" s="55"/>
      <c r="L22" s="55"/>
      <c r="M22" s="8"/>
      <c r="N22" s="8"/>
      <c r="O22" s="56"/>
      <c r="P22" s="55"/>
      <c r="Q22" s="56"/>
    </row>
    <row r="23" spans="1:21" x14ac:dyDescent="0.35">
      <c r="A23" s="6" t="s">
        <v>45</v>
      </c>
      <c r="B23" s="7" t="s">
        <v>65</v>
      </c>
      <c r="C23" s="7">
        <v>1.29E-2</v>
      </c>
      <c r="D23" s="7">
        <v>1.29E-2</v>
      </c>
      <c r="E23" s="17">
        <f>SUM(C23:D23)/2</f>
        <v>1.29E-2</v>
      </c>
      <c r="G23" s="18">
        <f>IF(E23=0," ",1/E23)</f>
        <v>77.519379844961236</v>
      </c>
      <c r="J23" s="55"/>
      <c r="K23" s="55"/>
      <c r="L23" s="55"/>
      <c r="M23" s="8"/>
      <c r="N23" s="8"/>
      <c r="P23" s="55"/>
    </row>
    <row r="24" spans="1:21" x14ac:dyDescent="0.35">
      <c r="J24" s="55"/>
      <c r="L24" s="55"/>
      <c r="M24" s="55"/>
      <c r="N24" s="55"/>
      <c r="P24" s="55"/>
    </row>
    <row r="25" spans="1:21" x14ac:dyDescent="0.35">
      <c r="L25" s="55"/>
      <c r="M25" s="55"/>
      <c r="N25" s="55"/>
    </row>
    <row r="26" spans="1:21" x14ac:dyDescent="0.35">
      <c r="L26" s="55"/>
    </row>
    <row r="27" spans="1:21" x14ac:dyDescent="0.35">
      <c r="L27" s="55"/>
    </row>
    <row r="28" spans="1:21" x14ac:dyDescent="0.35">
      <c r="L28" s="5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"/>
  <sheetViews>
    <sheetView workbookViewId="0">
      <selection activeCell="B2" sqref="B2"/>
    </sheetView>
  </sheetViews>
  <sheetFormatPr defaultColWidth="9.1796875" defaultRowHeight="14.5" x14ac:dyDescent="0.35"/>
  <cols>
    <col min="1" max="1" width="29.179687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6384" width="9.1796875" style="14"/>
  </cols>
  <sheetData>
    <row r="1" spans="1:15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5" x14ac:dyDescent="0.35">
      <c r="A2" s="59">
        <f>('07-07'!A2)+8</f>
        <v>46218</v>
      </c>
      <c r="B2" s="12"/>
      <c r="C2" s="13"/>
      <c r="D2"/>
      <c r="E2" s="1"/>
      <c r="F2"/>
      <c r="G2"/>
      <c r="I2" s="57"/>
    </row>
    <row r="3" spans="1:15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</row>
    <row r="4" spans="1:15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L4" s="57"/>
    </row>
    <row r="5" spans="1:15" x14ac:dyDescent="0.35">
      <c r="A5" s="6" t="s">
        <v>27</v>
      </c>
      <c r="B5" s="7" t="s">
        <v>47</v>
      </c>
      <c r="C5" s="7">
        <v>11.5192</v>
      </c>
      <c r="D5" s="7">
        <v>11.530799999999999</v>
      </c>
      <c r="E5" s="15">
        <f t="shared" ref="E5:E17" si="0">SUM(C5:D5)/2</f>
        <v>11.524999999999999</v>
      </c>
      <c r="F5"/>
      <c r="G5" s="16">
        <f>IF(E5=0," ",1/E5)</f>
        <v>8.6767895878524959E-2</v>
      </c>
      <c r="I5" s="57"/>
      <c r="J5" s="57"/>
      <c r="K5" s="57"/>
      <c r="L5" s="57"/>
      <c r="M5" s="34"/>
      <c r="N5" s="34"/>
    </row>
    <row r="6" spans="1:15" x14ac:dyDescent="0.35">
      <c r="A6" s="6" t="s">
        <v>28</v>
      </c>
      <c r="B6" s="7" t="s">
        <v>48</v>
      </c>
      <c r="C6" s="7">
        <v>15.575200000000001</v>
      </c>
      <c r="D6" s="7">
        <v>15.591900000000001</v>
      </c>
      <c r="E6" s="15">
        <f t="shared" si="0"/>
        <v>15.583550000000001</v>
      </c>
      <c r="F6"/>
      <c r="G6" s="16">
        <f t="shared" ref="G6:G17" si="1">IF(E6=0," ",1/E6)</f>
        <v>6.4170230788235028E-2</v>
      </c>
      <c r="I6" s="57"/>
      <c r="J6" s="57"/>
      <c r="K6" s="57"/>
      <c r="L6" s="57"/>
      <c r="M6" s="34"/>
      <c r="N6" s="34"/>
      <c r="O6" s="57"/>
    </row>
    <row r="7" spans="1:15" x14ac:dyDescent="0.35">
      <c r="A7" s="6" t="s">
        <v>29</v>
      </c>
      <c r="B7" s="7" t="s">
        <v>49</v>
      </c>
      <c r="C7" s="7">
        <v>14.276</v>
      </c>
      <c r="D7" s="7">
        <v>14.290100000000001</v>
      </c>
      <c r="E7" s="17">
        <f t="shared" si="0"/>
        <v>14.283049999999999</v>
      </c>
      <c r="F7"/>
      <c r="G7" s="18">
        <f t="shared" si="1"/>
        <v>7.0013057435211676E-2</v>
      </c>
      <c r="I7" s="57"/>
      <c r="J7" s="57"/>
      <c r="K7" s="57"/>
      <c r="L7" s="57"/>
      <c r="M7" s="34"/>
      <c r="N7" s="34"/>
      <c r="O7" s="57"/>
    </row>
    <row r="8" spans="1:15" x14ac:dyDescent="0.35">
      <c r="A8" s="6" t="s">
        <v>30</v>
      </c>
      <c r="B8" s="7" t="s">
        <v>50</v>
      </c>
      <c r="C8" s="7">
        <v>8.0524000000000004</v>
      </c>
      <c r="D8" s="7">
        <v>8.0625999999999998</v>
      </c>
      <c r="E8" s="17">
        <f t="shared" si="0"/>
        <v>8.057500000000001</v>
      </c>
      <c r="F8"/>
      <c r="G8" s="18">
        <f t="shared" si="1"/>
        <v>0.12410797393732546</v>
      </c>
      <c r="I8" s="57"/>
      <c r="J8" s="57"/>
      <c r="K8" s="57"/>
      <c r="L8" s="57"/>
      <c r="M8" s="34"/>
      <c r="N8" s="34"/>
      <c r="O8" s="57"/>
    </row>
    <row r="9" spans="1:15" x14ac:dyDescent="0.35">
      <c r="A9" s="6" t="s">
        <v>31</v>
      </c>
      <c r="B9" s="7" t="s">
        <v>51</v>
      </c>
      <c r="C9" s="7">
        <v>8.1974999999999998</v>
      </c>
      <c r="D9" s="7">
        <v>8.2053999999999991</v>
      </c>
      <c r="E9" s="17">
        <f t="shared" si="0"/>
        <v>8.2014499999999995</v>
      </c>
      <c r="F9"/>
      <c r="G9" s="18">
        <f t="shared" si="1"/>
        <v>0.12192965877984992</v>
      </c>
      <c r="I9" s="57"/>
      <c r="J9" s="57"/>
      <c r="K9" s="57"/>
      <c r="L9" s="57"/>
      <c r="M9" s="34"/>
      <c r="N9" s="34"/>
      <c r="O9" s="57"/>
    </row>
    <row r="10" spans="1:15" x14ac:dyDescent="0.35">
      <c r="A10" s="6" t="s">
        <v>32</v>
      </c>
      <c r="B10" s="7" t="s">
        <v>52</v>
      </c>
      <c r="C10" s="7">
        <v>1.7626999999999999</v>
      </c>
      <c r="D10" s="7">
        <v>1.7643</v>
      </c>
      <c r="E10" s="17">
        <f t="shared" si="0"/>
        <v>1.7635000000000001</v>
      </c>
      <c r="F10"/>
      <c r="G10" s="18">
        <f t="shared" si="1"/>
        <v>0.56705415367167566</v>
      </c>
      <c r="I10" s="57"/>
      <c r="J10" s="57"/>
      <c r="K10" s="57"/>
      <c r="L10" s="57"/>
      <c r="M10" s="34"/>
      <c r="N10" s="34"/>
      <c r="O10" s="57"/>
    </row>
    <row r="11" spans="1:15" x14ac:dyDescent="0.35">
      <c r="A11" s="6" t="s">
        <v>33</v>
      </c>
      <c r="B11" s="7" t="s">
        <v>53</v>
      </c>
      <c r="C11" s="7">
        <v>7.0999999999999994E-2</v>
      </c>
      <c r="D11" s="7">
        <v>7.1099999999999997E-2</v>
      </c>
      <c r="E11" s="17">
        <f t="shared" si="0"/>
        <v>7.1050000000000002E-2</v>
      </c>
      <c r="F11"/>
      <c r="G11" s="18">
        <f t="shared" si="1"/>
        <v>14.074595355383533</v>
      </c>
      <c r="I11" s="57"/>
      <c r="J11" s="57"/>
      <c r="K11" s="57"/>
      <c r="L11" s="57"/>
      <c r="M11" s="34"/>
      <c r="N11" s="34"/>
      <c r="O11" s="57"/>
    </row>
    <row r="12" spans="1:15" x14ac:dyDescent="0.35">
      <c r="A12" s="6" t="s">
        <v>34</v>
      </c>
      <c r="B12" s="7" t="s">
        <v>54</v>
      </c>
      <c r="C12" s="7">
        <v>6.7206999999999999</v>
      </c>
      <c r="D12" s="7">
        <v>6.7294999999999998</v>
      </c>
      <c r="E12" s="17">
        <f t="shared" si="0"/>
        <v>6.7250999999999994</v>
      </c>
      <c r="F12"/>
      <c r="G12" s="18">
        <f t="shared" si="1"/>
        <v>0.14869667365541034</v>
      </c>
      <c r="I12" s="57"/>
      <c r="J12" s="57"/>
      <c r="K12" s="57"/>
      <c r="L12" s="57"/>
      <c r="M12" s="34"/>
      <c r="N12" s="34"/>
      <c r="O12" s="57"/>
    </row>
    <row r="13" spans="1:15" x14ac:dyDescent="0.35">
      <c r="A13" s="6" t="s">
        <v>35</v>
      </c>
      <c r="B13" s="7" t="s">
        <v>55</v>
      </c>
      <c r="C13" s="7">
        <v>1.1909000000000001</v>
      </c>
      <c r="D13" s="7">
        <v>1.1917</v>
      </c>
      <c r="E13" s="17">
        <f t="shared" si="0"/>
        <v>1.1913</v>
      </c>
      <c r="F13"/>
      <c r="G13" s="18">
        <f t="shared" si="1"/>
        <v>0.83941912196759838</v>
      </c>
      <c r="I13" s="57"/>
      <c r="J13" s="57"/>
      <c r="K13" s="57"/>
      <c r="L13" s="57"/>
      <c r="M13" s="34"/>
      <c r="N13" s="34"/>
      <c r="O13" s="57"/>
    </row>
    <row r="14" spans="1:15" x14ac:dyDescent="0.35">
      <c r="A14" s="6" t="s">
        <v>36</v>
      </c>
      <c r="B14" s="7" t="s">
        <v>56</v>
      </c>
      <c r="C14" s="7">
        <v>1.1956</v>
      </c>
      <c r="D14" s="7">
        <v>1.1966000000000001</v>
      </c>
      <c r="E14" s="17">
        <f t="shared" si="0"/>
        <v>1.1960999999999999</v>
      </c>
      <c r="F14"/>
      <c r="G14" s="18">
        <f t="shared" si="1"/>
        <v>0.836050497450046</v>
      </c>
      <c r="I14" s="57"/>
      <c r="J14" s="57"/>
      <c r="K14" s="57"/>
      <c r="L14" s="57"/>
      <c r="M14" s="34"/>
      <c r="N14" s="34"/>
      <c r="O14" s="57"/>
    </row>
    <row r="15" spans="1:15" x14ac:dyDescent="0.35">
      <c r="A15" s="6" t="s">
        <v>37</v>
      </c>
      <c r="B15" s="7" t="s">
        <v>57</v>
      </c>
      <c r="C15" s="7">
        <v>0.70509999999999995</v>
      </c>
      <c r="D15" s="7">
        <v>0.70550000000000002</v>
      </c>
      <c r="E15" s="17">
        <f t="shared" si="0"/>
        <v>0.70530000000000004</v>
      </c>
      <c r="F15"/>
      <c r="G15" s="18">
        <f t="shared" si="1"/>
        <v>1.4178363816815538</v>
      </c>
      <c r="I15" s="57"/>
      <c r="J15" s="57"/>
      <c r="K15" s="57"/>
      <c r="L15" s="57"/>
      <c r="M15" s="34"/>
      <c r="N15" s="34"/>
      <c r="O15" s="57"/>
    </row>
    <row r="16" spans="1:15" x14ac:dyDescent="0.35">
      <c r="A16" s="6" t="s">
        <v>38</v>
      </c>
      <c r="B16" s="7" t="s">
        <v>58</v>
      </c>
      <c r="C16" s="7">
        <v>13.175800000000001</v>
      </c>
      <c r="D16" s="7">
        <v>13.1889</v>
      </c>
      <c r="E16" s="15">
        <f t="shared" si="0"/>
        <v>13.18235</v>
      </c>
      <c r="F16"/>
      <c r="G16" s="16">
        <f t="shared" si="1"/>
        <v>7.5859008446900592E-2</v>
      </c>
      <c r="I16" s="57"/>
      <c r="J16" s="57"/>
      <c r="K16" s="57"/>
      <c r="L16" s="57"/>
      <c r="M16" s="34"/>
      <c r="N16" s="34"/>
      <c r="O16" s="57"/>
    </row>
    <row r="17" spans="1:16" x14ac:dyDescent="0.35">
      <c r="A17" s="6" t="s">
        <v>39</v>
      </c>
      <c r="B17" s="7" t="s">
        <v>59</v>
      </c>
      <c r="C17" s="7">
        <v>1.702</v>
      </c>
      <c r="D17" s="7">
        <v>1.7031000000000001</v>
      </c>
      <c r="E17" s="17">
        <f t="shared" si="0"/>
        <v>1.70255</v>
      </c>
      <c r="F17"/>
      <c r="G17" s="18">
        <f t="shared" si="1"/>
        <v>0.58735426272356173</v>
      </c>
      <c r="I17" s="57"/>
      <c r="J17" s="57"/>
      <c r="K17" s="57"/>
      <c r="L17" s="57"/>
      <c r="M17" s="34"/>
      <c r="N17" s="34"/>
      <c r="O17" s="57"/>
    </row>
    <row r="18" spans="1:16" x14ac:dyDescent="0.35">
      <c r="A18" s="6" t="s">
        <v>40</v>
      </c>
      <c r="B18" s="7" t="s">
        <v>60</v>
      </c>
      <c r="C18" s="7">
        <v>49.735500000000002</v>
      </c>
      <c r="D18" s="7">
        <v>49.784999999999997</v>
      </c>
      <c r="E18" s="19">
        <f>IF(G18=0," ",1/G18)</f>
        <v>2.0096362056058803E-2</v>
      </c>
      <c r="F18"/>
      <c r="G18" s="20">
        <f>SUM(C18:D18)/2</f>
        <v>49.760249999999999</v>
      </c>
      <c r="I18" s="57"/>
      <c r="J18" s="57"/>
      <c r="K18" s="57"/>
      <c r="L18" s="57"/>
      <c r="M18" s="34"/>
      <c r="N18" s="34"/>
      <c r="O18" s="57"/>
    </row>
    <row r="19" spans="1:16" x14ac:dyDescent="0.35">
      <c r="A19" s="6" t="s">
        <v>41</v>
      </c>
      <c r="B19" s="7" t="s">
        <v>61</v>
      </c>
      <c r="C19" s="7">
        <v>6.3204000000000002</v>
      </c>
      <c r="D19" s="7">
        <v>6.3970000000000002</v>
      </c>
      <c r="E19" s="21">
        <f>IF(G19=0," ",1/G19)</f>
        <v>0.15726484973343607</v>
      </c>
      <c r="F19"/>
      <c r="G19" s="22">
        <f>SUM(C19:D19)/2</f>
        <v>6.3587000000000007</v>
      </c>
      <c r="I19" s="57"/>
      <c r="J19" s="57"/>
      <c r="K19" s="57"/>
      <c r="L19" s="58"/>
      <c r="M19" s="34"/>
      <c r="N19" s="34"/>
      <c r="O19" s="57"/>
    </row>
    <row r="20" spans="1:16" x14ac:dyDescent="0.35">
      <c r="A20" s="6" t="s">
        <v>42</v>
      </c>
      <c r="B20" s="7" t="s">
        <v>62</v>
      </c>
      <c r="C20" s="7">
        <v>30.976099999999999</v>
      </c>
      <c r="D20" s="7">
        <v>31.062899999999999</v>
      </c>
      <c r="E20" s="21">
        <f>IF(G20=0," ",1/G20)</f>
        <v>3.2237785908863781E-2</v>
      </c>
      <c r="F20"/>
      <c r="G20" s="22">
        <f>SUM(C20:D20)/2</f>
        <v>31.019500000000001</v>
      </c>
      <c r="I20" s="57"/>
      <c r="J20" s="57"/>
      <c r="K20" s="57"/>
      <c r="L20" s="58"/>
      <c r="M20" s="34"/>
      <c r="N20" s="34"/>
      <c r="O20" s="57"/>
    </row>
    <row r="21" spans="1:16" x14ac:dyDescent="0.35">
      <c r="A21" s="6" t="s">
        <v>43</v>
      </c>
      <c r="B21" s="7" t="s">
        <v>63</v>
      </c>
      <c r="C21" s="7">
        <v>119.8265</v>
      </c>
      <c r="D21" s="7">
        <v>119.9132</v>
      </c>
      <c r="E21" s="21">
        <f>IF(G21=0," ",1/G21)</f>
        <v>8.3423813410961976E-3</v>
      </c>
      <c r="F21"/>
      <c r="G21" s="22">
        <f>SUM(C21:D21)/2</f>
        <v>119.86985</v>
      </c>
      <c r="I21" s="57"/>
      <c r="J21" s="57"/>
      <c r="K21" s="57"/>
      <c r="L21" s="57"/>
      <c r="M21" s="34"/>
      <c r="N21" s="34"/>
      <c r="O21" s="58"/>
      <c r="P21" s="58"/>
    </row>
    <row r="22" spans="1:16" x14ac:dyDescent="0.35">
      <c r="A22" s="6" t="s">
        <v>44</v>
      </c>
      <c r="B22" s="7" t="s">
        <v>64</v>
      </c>
      <c r="C22" s="7">
        <v>2062.6637000000001</v>
      </c>
      <c r="D22" s="7">
        <v>2118.0043000000001</v>
      </c>
      <c r="E22" s="23">
        <f>IF(G22=0," ",1/G22)</f>
        <v>4.7839244828816832E-4</v>
      </c>
      <c r="F22"/>
      <c r="G22" s="24">
        <f>SUM(C22:D22)/2</f>
        <v>2090.3339999999998</v>
      </c>
      <c r="J22" s="57"/>
      <c r="K22" s="57"/>
      <c r="L22" s="57"/>
      <c r="M22" s="34"/>
      <c r="N22" s="34"/>
      <c r="O22" s="57"/>
    </row>
    <row r="23" spans="1:16" x14ac:dyDescent="0.35">
      <c r="A23" s="6" t="s">
        <v>45</v>
      </c>
      <c r="B23" s="7" t="s">
        <v>65</v>
      </c>
      <c r="C23" s="7">
        <v>1.2800000000000001E-2</v>
      </c>
      <c r="D23" s="7">
        <v>1.2800000000000001E-2</v>
      </c>
      <c r="E23" s="17">
        <f>SUM(C23:D23)/2</f>
        <v>1.2800000000000001E-2</v>
      </c>
      <c r="F23"/>
      <c r="G23" s="18">
        <f>IF(E23=0," ",1/E23)</f>
        <v>78.125</v>
      </c>
      <c r="J23" s="57"/>
      <c r="K23" s="57"/>
      <c r="L23" s="57"/>
      <c r="M23" s="34"/>
      <c r="N23" s="34"/>
      <c r="O23" s="57"/>
    </row>
    <row r="24" spans="1:16" x14ac:dyDescent="0.35">
      <c r="K24" s="57"/>
      <c r="L24" s="57"/>
      <c r="M24" s="57"/>
      <c r="O24" s="57"/>
    </row>
    <row r="25" spans="1:16" x14ac:dyDescent="0.35">
      <c r="L25" s="57"/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6"/>
  <sheetViews>
    <sheetView workbookViewId="0">
      <selection activeCell="B2" sqref="B2"/>
    </sheetView>
  </sheetViews>
  <sheetFormatPr defaultColWidth="9.1796875" defaultRowHeight="14.5" x14ac:dyDescent="0.35"/>
  <cols>
    <col min="1" max="1" width="30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0" width="9.1796875" style="14"/>
    <col min="11" max="11" width="9.81640625" style="14" bestFit="1" customWidth="1"/>
    <col min="12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('07-07'!A2)+9</f>
        <v>46219</v>
      </c>
      <c r="B2" s="12"/>
      <c r="C2" s="13"/>
      <c r="D2"/>
      <c r="E2" s="1"/>
      <c r="F2"/>
      <c r="G2"/>
      <c r="I2" s="57"/>
      <c r="J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L4" s="57"/>
      <c r="M4" s="57"/>
    </row>
    <row r="5" spans="1:14" ht="14.25" customHeight="1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55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34"/>
      <c r="N6" s="34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34"/>
      <c r="N7" s="34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34"/>
      <c r="N8" s="34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34"/>
      <c r="N9" s="34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34"/>
      <c r="N10" s="34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34"/>
      <c r="N11" s="34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34"/>
      <c r="N12" s="34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34"/>
      <c r="N13" s="34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34"/>
      <c r="N14" s="34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34"/>
      <c r="N15" s="34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34"/>
      <c r="N16" s="34"/>
    </row>
    <row r="17" spans="1:19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34"/>
      <c r="N17" s="34"/>
    </row>
    <row r="18" spans="1:19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34"/>
      <c r="N18" s="34"/>
    </row>
    <row r="19" spans="1:19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8"/>
      <c r="M19" s="34"/>
      <c r="N19" s="34"/>
    </row>
    <row r="20" spans="1:19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8"/>
      <c r="M20" s="34"/>
      <c r="N20" s="34"/>
      <c r="O20" s="58"/>
    </row>
    <row r="21" spans="1:19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34"/>
      <c r="N21" s="34"/>
      <c r="O21" s="58"/>
      <c r="P21" s="58"/>
      <c r="Q21" s="58"/>
    </row>
    <row r="22" spans="1:19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I22" s="57"/>
      <c r="J22" s="57"/>
      <c r="K22" s="57"/>
      <c r="L22" s="57"/>
      <c r="M22" s="34"/>
      <c r="N22" s="34"/>
      <c r="O22" s="58"/>
      <c r="P22" s="58"/>
      <c r="Q22" s="58"/>
    </row>
    <row r="23" spans="1:19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34"/>
      <c r="N23" s="34"/>
      <c r="O23" s="58"/>
      <c r="P23" s="58"/>
      <c r="Q23" s="58"/>
      <c r="R23" s="58"/>
    </row>
    <row r="24" spans="1:19" x14ac:dyDescent="0.35">
      <c r="J24" s="57"/>
      <c r="K24" s="57"/>
      <c r="M24" s="57"/>
      <c r="N24" s="57"/>
    </row>
    <row r="25" spans="1:19" x14ac:dyDescent="0.35">
      <c r="N25" s="57"/>
      <c r="Q25" s="58"/>
      <c r="R25" s="58"/>
      <c r="S25" s="58"/>
    </row>
    <row r="26" spans="1:19" x14ac:dyDescent="0.35">
      <c r="N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5"/>
  <sheetViews>
    <sheetView workbookViewId="0">
      <selection activeCell="B2" sqref="B2"/>
    </sheetView>
  </sheetViews>
  <sheetFormatPr defaultColWidth="9.1796875" defaultRowHeight="14.5" x14ac:dyDescent="0.35"/>
  <cols>
    <col min="1" max="1" width="29.45312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9.7265625" style="14" bestFit="1" customWidth="1"/>
    <col min="10" max="16384" width="9.1796875" style="14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('07-07'!A2)+10</f>
        <v>46220</v>
      </c>
      <c r="B2" s="12"/>
      <c r="C2" s="13"/>
      <c r="D2"/>
      <c r="E2" s="1"/>
      <c r="F2"/>
      <c r="G2"/>
      <c r="I2" s="57"/>
      <c r="M2" s="57"/>
    </row>
    <row r="3" spans="1:16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L3" s="57"/>
      <c r="M3" s="57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L4" s="57"/>
      <c r="M4" s="57"/>
      <c r="N4" s="57"/>
    </row>
    <row r="5" spans="1:16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6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34"/>
      <c r="N6" s="34"/>
    </row>
    <row r="7" spans="1:16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  <c r="P7" s="57"/>
    </row>
    <row r="8" spans="1:16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  <c r="P8" s="57"/>
    </row>
    <row r="9" spans="1:16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57"/>
      <c r="N9" s="57"/>
      <c r="P9" s="57"/>
    </row>
    <row r="10" spans="1:16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  <c r="P10" s="57"/>
    </row>
    <row r="11" spans="1:16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  <c r="P11" s="57"/>
    </row>
    <row r="12" spans="1:16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  <c r="P12" s="57"/>
    </row>
    <row r="13" spans="1:16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  <c r="P13" s="57"/>
    </row>
    <row r="14" spans="1:16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  <c r="P14" s="57"/>
    </row>
    <row r="15" spans="1:16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  <c r="P15" s="57"/>
    </row>
    <row r="16" spans="1:16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  <c r="P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  <c r="P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  <c r="P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7"/>
      <c r="N19" s="57"/>
      <c r="P19" s="57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  <c r="P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  <c r="O21" s="58"/>
      <c r="P21" s="57"/>
      <c r="Q21" s="58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I22" s="57"/>
      <c r="J22" s="57"/>
      <c r="K22" s="57"/>
      <c r="L22" s="57"/>
      <c r="M22" s="57"/>
      <c r="N22" s="57"/>
      <c r="O22" s="58"/>
      <c r="P22" s="57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I23" s="57"/>
      <c r="J23" s="57"/>
      <c r="K23" s="57"/>
      <c r="L23" s="57"/>
      <c r="M23" s="57"/>
      <c r="N23" s="58"/>
      <c r="O23" s="58"/>
      <c r="P23" s="58"/>
      <c r="Q23" s="58"/>
      <c r="R23" s="58"/>
    </row>
    <row r="24" spans="1:18" x14ac:dyDescent="0.35">
      <c r="J24" s="57"/>
      <c r="K24" s="57"/>
      <c r="L24" s="57"/>
      <c r="P24" s="57"/>
    </row>
    <row r="25" spans="1:18" x14ac:dyDescent="0.35">
      <c r="P25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8"/>
  <sheetViews>
    <sheetView workbookViewId="0">
      <selection activeCell="B2" sqref="B2"/>
    </sheetView>
  </sheetViews>
  <sheetFormatPr defaultColWidth="9.1796875" defaultRowHeight="14.5" x14ac:dyDescent="0.35"/>
  <cols>
    <col min="1" max="1" width="27.7265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2" width="9.1796875" style="14"/>
    <col min="13" max="13" width="12.81640625" style="14" bestFit="1" customWidth="1"/>
    <col min="14" max="15" width="12.7265625" style="14" bestFit="1" customWidth="1"/>
    <col min="16" max="16384" width="9.1796875" style="14"/>
  </cols>
  <sheetData>
    <row r="1" spans="1:23" ht="18.5" x14ac:dyDescent="0.45">
      <c r="A1" s="71" t="s">
        <v>0</v>
      </c>
      <c r="B1" s="71"/>
      <c r="C1" s="71"/>
      <c r="D1" s="71"/>
      <c r="E1" s="71"/>
      <c r="F1" s="71"/>
      <c r="G1" s="71"/>
    </row>
    <row r="2" spans="1:23" x14ac:dyDescent="0.35">
      <c r="A2" s="59">
        <f>('07-07'!A2)+13</f>
        <v>46223</v>
      </c>
      <c r="B2" s="12"/>
      <c r="C2" s="13"/>
      <c r="D2"/>
      <c r="E2" s="1"/>
      <c r="F2"/>
      <c r="G2"/>
      <c r="I2" s="57"/>
    </row>
    <row r="3" spans="1:23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  <c r="W3" s="57"/>
    </row>
    <row r="4" spans="1:23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K4" s="57"/>
      <c r="L4" s="57"/>
      <c r="P4"/>
      <c r="W4" s="57"/>
    </row>
    <row r="5" spans="1:23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K5" s="57"/>
      <c r="L5" s="57"/>
      <c r="M5" s="57"/>
      <c r="W5" s="57"/>
    </row>
    <row r="6" spans="1:23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K6" s="57"/>
      <c r="L6" s="57"/>
      <c r="M6" s="57"/>
      <c r="W6" s="57"/>
    </row>
    <row r="7" spans="1:23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K7" s="57"/>
      <c r="L7" s="57"/>
      <c r="M7" s="57"/>
      <c r="W7" s="57"/>
    </row>
    <row r="8" spans="1:23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K8" s="57"/>
      <c r="L8" s="57"/>
      <c r="M8" s="57"/>
      <c r="W8" s="57"/>
    </row>
    <row r="9" spans="1:23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K9" s="57"/>
      <c r="L9" s="57"/>
      <c r="M9" s="57"/>
      <c r="W9" s="57"/>
    </row>
    <row r="10" spans="1:23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K10" s="57"/>
      <c r="L10" s="57"/>
      <c r="M10" s="57"/>
      <c r="W10" s="57"/>
    </row>
    <row r="11" spans="1:23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K11" s="57"/>
      <c r="L11" s="57"/>
      <c r="M11" s="57"/>
      <c r="W11" s="57"/>
    </row>
    <row r="12" spans="1:23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K12" s="57"/>
      <c r="L12" s="57"/>
      <c r="M12" s="57"/>
      <c r="W12" s="57"/>
    </row>
    <row r="13" spans="1:23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K13" s="57"/>
      <c r="L13" s="57"/>
      <c r="M13" s="57"/>
      <c r="W13" s="57"/>
    </row>
    <row r="14" spans="1:23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K14" s="57"/>
      <c r="L14" s="57"/>
      <c r="M14" s="57"/>
      <c r="W14" s="57"/>
    </row>
    <row r="15" spans="1:23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K15" s="57"/>
      <c r="L15" s="57"/>
      <c r="M15" s="57"/>
      <c r="W15" s="57"/>
    </row>
    <row r="16" spans="1:23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K16" s="57"/>
      <c r="L16" s="57"/>
      <c r="M16" s="57"/>
      <c r="W16" s="57"/>
    </row>
    <row r="17" spans="1:2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K17" s="57"/>
      <c r="L17" s="57"/>
      <c r="M17" s="57"/>
      <c r="W17" s="57"/>
    </row>
    <row r="18" spans="1:2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K18" s="57"/>
      <c r="L18" s="57"/>
      <c r="M18" s="57"/>
      <c r="W18" s="57"/>
    </row>
    <row r="19" spans="1:2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K19" s="57"/>
      <c r="L19" s="57"/>
      <c r="M19" s="57"/>
      <c r="N19" s="58"/>
      <c r="W19" s="57"/>
    </row>
    <row r="20" spans="1:2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K20" s="57"/>
      <c r="L20" s="57"/>
      <c r="M20" s="57"/>
      <c r="W20" s="57"/>
      <c r="Z20" s="58"/>
      <c r="AA20" s="58"/>
      <c r="AB20" s="58"/>
    </row>
    <row r="21" spans="1:2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K21" s="57"/>
      <c r="L21" s="57"/>
      <c r="M21" s="57"/>
      <c r="W21" s="57"/>
    </row>
    <row r="22" spans="1:2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K22" s="57"/>
      <c r="L22" s="57"/>
      <c r="M22" s="57"/>
    </row>
    <row r="23" spans="1:2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K23" s="57"/>
      <c r="L23" s="57"/>
      <c r="M23" s="57"/>
    </row>
    <row r="24" spans="1:28" x14ac:dyDescent="0.35">
      <c r="K24" s="57"/>
      <c r="L24" s="57"/>
    </row>
    <row r="25" spans="1:28" x14ac:dyDescent="0.35">
      <c r="K25" s="57"/>
      <c r="L25" s="57"/>
    </row>
    <row r="27" spans="1:28" x14ac:dyDescent="0.35">
      <c r="M27" s="57"/>
    </row>
    <row r="28" spans="1:28" x14ac:dyDescent="0.35">
      <c r="M28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5"/>
  <sheetViews>
    <sheetView workbookViewId="0">
      <selection activeCell="B2" sqref="B2"/>
    </sheetView>
  </sheetViews>
  <sheetFormatPr defaultColWidth="9.1796875" defaultRowHeight="14.5" x14ac:dyDescent="0.35"/>
  <cols>
    <col min="1" max="1" width="27" style="14" bestFit="1" customWidth="1"/>
    <col min="2" max="2" width="10.26953125" style="14" bestFit="1" customWidth="1"/>
    <col min="3" max="3" width="12.26953125" style="14" customWidth="1"/>
    <col min="4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6384" width="9.1796875" style="14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('07-07'!A2)+14</f>
        <v>46224</v>
      </c>
      <c r="B2" s="12"/>
      <c r="C2" s="13"/>
      <c r="D2"/>
      <c r="E2" s="1"/>
      <c r="F2"/>
      <c r="G2"/>
      <c r="I2" s="57"/>
      <c r="J2" s="57"/>
    </row>
    <row r="3" spans="1:16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M4" s="57"/>
    </row>
    <row r="5" spans="1:16" x14ac:dyDescent="0.35">
      <c r="A5" s="6"/>
      <c r="D5" s="5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K5" s="57"/>
      <c r="L5" s="57"/>
      <c r="M5" s="57"/>
      <c r="P5" s="57"/>
    </row>
    <row r="6" spans="1:16" x14ac:dyDescent="0.35">
      <c r="A6" s="6"/>
      <c r="D6" s="5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K6" s="57"/>
      <c r="L6" s="57"/>
      <c r="M6" s="57"/>
      <c r="P6" s="57"/>
    </row>
    <row r="7" spans="1:16" x14ac:dyDescent="0.35">
      <c r="A7" s="6"/>
      <c r="D7" s="57"/>
      <c r="E7" s="17">
        <f t="shared" si="0"/>
        <v>0</v>
      </c>
      <c r="F7"/>
      <c r="G7" s="18" t="str">
        <f t="shared" si="1"/>
        <v xml:space="preserve"> </v>
      </c>
      <c r="I7" s="57"/>
      <c r="K7" s="57"/>
      <c r="L7" s="57"/>
      <c r="M7" s="57"/>
      <c r="P7" s="57"/>
    </row>
    <row r="8" spans="1:16" x14ac:dyDescent="0.35">
      <c r="A8" s="6"/>
      <c r="D8" s="57"/>
      <c r="E8" s="17">
        <f t="shared" si="0"/>
        <v>0</v>
      </c>
      <c r="F8"/>
      <c r="G8" s="18" t="str">
        <f t="shared" si="1"/>
        <v xml:space="preserve"> </v>
      </c>
      <c r="I8" s="57"/>
      <c r="K8" s="57"/>
      <c r="L8" s="57"/>
      <c r="M8" s="57"/>
      <c r="P8" s="57"/>
    </row>
    <row r="9" spans="1:16" x14ac:dyDescent="0.35">
      <c r="A9" s="6"/>
      <c r="D9" s="57"/>
      <c r="E9" s="17">
        <f t="shared" si="0"/>
        <v>0</v>
      </c>
      <c r="F9"/>
      <c r="G9" s="18" t="str">
        <f t="shared" si="1"/>
        <v xml:space="preserve"> </v>
      </c>
      <c r="I9" s="57"/>
      <c r="K9" s="57"/>
      <c r="L9" s="57"/>
      <c r="M9" s="57"/>
      <c r="P9" s="57"/>
    </row>
    <row r="10" spans="1:16" x14ac:dyDescent="0.35">
      <c r="A10" s="6"/>
      <c r="D10" s="57"/>
      <c r="E10" s="17">
        <f t="shared" si="0"/>
        <v>0</v>
      </c>
      <c r="F10"/>
      <c r="G10" s="18" t="str">
        <f t="shared" si="1"/>
        <v xml:space="preserve"> </v>
      </c>
      <c r="I10" s="57"/>
      <c r="K10" s="57"/>
      <c r="L10" s="57"/>
      <c r="M10" s="57"/>
      <c r="P10" s="57"/>
    </row>
    <row r="11" spans="1:16" x14ac:dyDescent="0.35">
      <c r="A11" s="6"/>
      <c r="D11" s="57"/>
      <c r="E11" s="17">
        <f t="shared" si="0"/>
        <v>0</v>
      </c>
      <c r="F11"/>
      <c r="G11" s="18" t="str">
        <f t="shared" si="1"/>
        <v xml:space="preserve"> </v>
      </c>
      <c r="I11" s="57"/>
      <c r="K11" s="57"/>
      <c r="L11" s="57"/>
      <c r="M11" s="57"/>
      <c r="P11" s="57"/>
    </row>
    <row r="12" spans="1:16" x14ac:dyDescent="0.35">
      <c r="A12" s="6"/>
      <c r="D12" s="57"/>
      <c r="E12" s="17">
        <f t="shared" si="0"/>
        <v>0</v>
      </c>
      <c r="F12"/>
      <c r="G12" s="18" t="str">
        <f t="shared" si="1"/>
        <v xml:space="preserve"> </v>
      </c>
      <c r="I12" s="57"/>
      <c r="K12" s="57"/>
      <c r="L12" s="57"/>
      <c r="M12" s="57"/>
      <c r="P12" s="57"/>
    </row>
    <row r="13" spans="1:16" x14ac:dyDescent="0.35">
      <c r="A13" s="6"/>
      <c r="D13" s="57"/>
      <c r="E13" s="17">
        <f t="shared" si="0"/>
        <v>0</v>
      </c>
      <c r="F13"/>
      <c r="G13" s="18" t="str">
        <f t="shared" si="1"/>
        <v xml:space="preserve"> </v>
      </c>
      <c r="I13" s="57"/>
      <c r="K13" s="57"/>
      <c r="L13" s="57"/>
      <c r="M13" s="57"/>
      <c r="P13" s="57"/>
    </row>
    <row r="14" spans="1:16" x14ac:dyDescent="0.35">
      <c r="A14" s="6"/>
      <c r="D14" s="57"/>
      <c r="E14" s="17">
        <f t="shared" si="0"/>
        <v>0</v>
      </c>
      <c r="F14"/>
      <c r="G14" s="18" t="str">
        <f t="shared" si="1"/>
        <v xml:space="preserve"> </v>
      </c>
      <c r="I14" s="57"/>
      <c r="K14" s="57"/>
      <c r="L14" s="57"/>
      <c r="M14" s="57"/>
      <c r="P14" s="57"/>
    </row>
    <row r="15" spans="1:16" x14ac:dyDescent="0.35">
      <c r="A15" s="6"/>
      <c r="D15" s="57"/>
      <c r="E15" s="17">
        <f t="shared" si="0"/>
        <v>0</v>
      </c>
      <c r="F15"/>
      <c r="G15" s="18" t="str">
        <f t="shared" si="1"/>
        <v xml:space="preserve"> </v>
      </c>
      <c r="I15" s="57"/>
      <c r="K15" s="57"/>
      <c r="L15" s="57"/>
      <c r="M15" s="57"/>
      <c r="P15" s="57"/>
    </row>
    <row r="16" spans="1:16" x14ac:dyDescent="0.35">
      <c r="A16" s="6"/>
      <c r="D16" s="57"/>
      <c r="E16" s="15">
        <f t="shared" si="0"/>
        <v>0</v>
      </c>
      <c r="F16"/>
      <c r="G16" s="16" t="str">
        <f t="shared" si="1"/>
        <v xml:space="preserve"> </v>
      </c>
      <c r="I16" s="57"/>
      <c r="K16" s="57"/>
      <c r="L16" s="57"/>
      <c r="M16" s="57"/>
      <c r="P16" s="57"/>
    </row>
    <row r="17" spans="1:18" x14ac:dyDescent="0.35">
      <c r="A17" s="6"/>
      <c r="D17" s="57"/>
      <c r="E17" s="17">
        <f t="shared" si="0"/>
        <v>0</v>
      </c>
      <c r="F17"/>
      <c r="G17" s="18" t="str">
        <f t="shared" si="1"/>
        <v xml:space="preserve"> </v>
      </c>
      <c r="I17" s="57"/>
      <c r="K17" s="57"/>
      <c r="L17" s="57"/>
      <c r="M17" s="57"/>
      <c r="P17" s="57"/>
    </row>
    <row r="18" spans="1:18" x14ac:dyDescent="0.35">
      <c r="A18" s="6"/>
      <c r="B18" s="58"/>
      <c r="D18" s="57"/>
      <c r="E18" s="19" t="str">
        <f>IF(G18=0," ",1/G18)</f>
        <v xml:space="preserve"> </v>
      </c>
      <c r="F18"/>
      <c r="G18" s="20">
        <f>SUM(C18:D18)/2</f>
        <v>0</v>
      </c>
      <c r="I18" s="57"/>
      <c r="K18" s="57"/>
      <c r="L18" s="57"/>
      <c r="M18" s="57"/>
      <c r="P18" s="57"/>
    </row>
    <row r="19" spans="1:18" x14ac:dyDescent="0.35">
      <c r="A19" s="6"/>
      <c r="D19" s="57"/>
      <c r="E19" s="21" t="str">
        <f>IF(G19=0," ",1/G19)</f>
        <v xml:space="preserve"> </v>
      </c>
      <c r="F19"/>
      <c r="G19" s="22">
        <f>SUM(C19:D19)/2</f>
        <v>0</v>
      </c>
      <c r="I19" s="57"/>
      <c r="K19" s="57"/>
      <c r="L19" s="58"/>
      <c r="M19" s="58"/>
      <c r="N19" s="58"/>
      <c r="P19" s="57"/>
    </row>
    <row r="20" spans="1:18" x14ac:dyDescent="0.35">
      <c r="A20" s="6"/>
      <c r="D20" s="57"/>
      <c r="E20" s="21" t="str">
        <f>IF(G20=0," ",1/G20)</f>
        <v xml:space="preserve"> </v>
      </c>
      <c r="F20"/>
      <c r="G20" s="22">
        <f>SUM(C20:D20)/2</f>
        <v>0</v>
      </c>
      <c r="I20" s="57"/>
      <c r="K20" s="57"/>
      <c r="L20" s="57"/>
      <c r="M20" s="57"/>
      <c r="P20" s="57"/>
    </row>
    <row r="21" spans="1:18" x14ac:dyDescent="0.35">
      <c r="A21" s="6"/>
      <c r="B21" s="58"/>
      <c r="C21" s="58"/>
      <c r="D21" s="57"/>
      <c r="E21" s="21" t="str">
        <f>IF(G21=0," ",1/G21)</f>
        <v xml:space="preserve"> </v>
      </c>
      <c r="F21"/>
      <c r="G21" s="22">
        <f>SUM(C21:D21)/2</f>
        <v>0</v>
      </c>
      <c r="I21" s="57"/>
      <c r="K21" s="57"/>
      <c r="L21" s="57"/>
      <c r="M21" s="57"/>
      <c r="N21" s="58"/>
      <c r="O21" s="58"/>
      <c r="P21" s="57"/>
      <c r="Q21" s="58"/>
      <c r="R21" s="58"/>
    </row>
    <row r="22" spans="1:18" x14ac:dyDescent="0.35">
      <c r="A22" s="6"/>
      <c r="C22" s="58"/>
      <c r="D22" s="57"/>
      <c r="E22" s="23" t="str">
        <f>IF(G22=0," ",1/G22)</f>
        <v xml:space="preserve"> </v>
      </c>
      <c r="F22"/>
      <c r="G22" s="24">
        <f>SUM(C22:D22)/2</f>
        <v>0</v>
      </c>
      <c r="K22" s="57"/>
      <c r="L22" s="57"/>
      <c r="M22" s="57"/>
      <c r="N22" s="58"/>
      <c r="O22" s="58"/>
      <c r="P22" s="57"/>
      <c r="Q22" s="58"/>
      <c r="R22" s="58"/>
    </row>
    <row r="23" spans="1:18" x14ac:dyDescent="0.35">
      <c r="A23" s="6"/>
      <c r="B23" s="57"/>
      <c r="E23" s="17">
        <f>SUM(C23:D23)/2</f>
        <v>0</v>
      </c>
      <c r="F23"/>
      <c r="G23" s="18" t="str">
        <f>IF(E23=0," ",1/E23)</f>
        <v xml:space="preserve"> </v>
      </c>
      <c r="K23" s="57"/>
      <c r="L23" s="57"/>
      <c r="M23" s="57"/>
      <c r="O23" s="58"/>
      <c r="P23" s="57"/>
      <c r="Q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K24" s="57"/>
      <c r="L24" s="57"/>
      <c r="N24" s="57"/>
    </row>
    <row r="25" spans="1:18" x14ac:dyDescent="0.35">
      <c r="N25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5"/>
  <sheetViews>
    <sheetView workbookViewId="0">
      <selection activeCell="B2" sqref="B2"/>
    </sheetView>
  </sheetViews>
  <sheetFormatPr defaultColWidth="9.1796875" defaultRowHeight="14.5" x14ac:dyDescent="0.35"/>
  <cols>
    <col min="1" max="1" width="30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1" width="9.1796875" style="14"/>
    <col min="12" max="12" width="9.7265625" style="14" bestFit="1" customWidth="1"/>
    <col min="13" max="16384" width="9.1796875" style="14"/>
  </cols>
  <sheetData>
    <row r="1" spans="1:15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5" x14ac:dyDescent="0.35">
      <c r="A2" s="59">
        <f>('07-07'!A2)+15</f>
        <v>46225</v>
      </c>
      <c r="B2" s="12"/>
      <c r="C2" s="13"/>
      <c r="D2"/>
      <c r="E2" s="1"/>
      <c r="F2"/>
      <c r="G2"/>
      <c r="I2" s="57"/>
      <c r="J2" s="57"/>
    </row>
    <row r="3" spans="1:15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M3" s="57"/>
    </row>
    <row r="4" spans="1:15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L4" s="57"/>
      <c r="M4" s="57"/>
    </row>
    <row r="5" spans="1:15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L5" s="57"/>
      <c r="M5" s="34"/>
      <c r="N5" s="34"/>
      <c r="O5" s="57"/>
    </row>
    <row r="6" spans="1:15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34"/>
      <c r="N6" s="34"/>
      <c r="O6" s="57"/>
    </row>
    <row r="7" spans="1:15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34"/>
      <c r="N7" s="34"/>
      <c r="O7" s="57"/>
    </row>
    <row r="8" spans="1:15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34"/>
      <c r="N8" s="34"/>
      <c r="O8" s="57"/>
    </row>
    <row r="9" spans="1:15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34"/>
      <c r="N9" s="34"/>
      <c r="O9" s="57"/>
    </row>
    <row r="10" spans="1:15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34"/>
      <c r="N10" s="34"/>
      <c r="O10" s="57"/>
    </row>
    <row r="11" spans="1:15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34"/>
      <c r="N11" s="34"/>
      <c r="O11" s="57"/>
    </row>
    <row r="12" spans="1:15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34"/>
      <c r="N12" s="34"/>
      <c r="O12" s="57"/>
    </row>
    <row r="13" spans="1:15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34"/>
      <c r="N13" s="34"/>
      <c r="O13" s="57"/>
    </row>
    <row r="14" spans="1:15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34"/>
      <c r="N14" s="34"/>
      <c r="O14" s="57"/>
    </row>
    <row r="15" spans="1:15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34"/>
      <c r="N15" s="34"/>
      <c r="O15" s="57"/>
    </row>
    <row r="16" spans="1:15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34"/>
      <c r="N16" s="34"/>
      <c r="O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34"/>
      <c r="N17" s="34"/>
      <c r="O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34"/>
      <c r="N18" s="34"/>
      <c r="O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8"/>
      <c r="M19" s="34"/>
      <c r="N19" s="34"/>
      <c r="O19" s="57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8"/>
      <c r="M20" s="34"/>
      <c r="N20" s="34"/>
      <c r="O20" s="57"/>
      <c r="P20" s="58"/>
      <c r="Q20" s="58"/>
      <c r="R20" s="58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34"/>
      <c r="N21" s="34"/>
      <c r="O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34"/>
      <c r="N22" s="34"/>
      <c r="O22" s="57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34"/>
      <c r="N23" s="34"/>
      <c r="O23" s="57"/>
      <c r="P23" s="58"/>
      <c r="Q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L24" s="57"/>
    </row>
    <row r="25" spans="1:18" x14ac:dyDescent="0.35">
      <c r="L25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5"/>
  <sheetViews>
    <sheetView workbookViewId="0">
      <selection activeCell="B2" sqref="B2"/>
    </sheetView>
  </sheetViews>
  <sheetFormatPr defaultColWidth="9.1796875" defaultRowHeight="14.5" x14ac:dyDescent="0.35"/>
  <cols>
    <col min="1" max="1" width="29.45312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6384" width="9.1796875" style="14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('07-07'!A2)+16</f>
        <v>46226</v>
      </c>
      <c r="B2" s="12"/>
      <c r="C2" s="13"/>
      <c r="D2"/>
      <c r="E2" s="1"/>
      <c r="F2"/>
      <c r="G2"/>
      <c r="I2" s="57"/>
      <c r="J2" s="57"/>
    </row>
    <row r="3" spans="1:16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</row>
    <row r="5" spans="1:16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N5" s="34"/>
      <c r="P5" s="57"/>
    </row>
    <row r="6" spans="1:16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N6" s="34"/>
      <c r="P6" s="57"/>
    </row>
    <row r="7" spans="1:16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N7" s="34"/>
      <c r="P7" s="57"/>
    </row>
    <row r="8" spans="1:16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N8" s="34"/>
      <c r="P8" s="57"/>
    </row>
    <row r="9" spans="1:16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N9" s="34"/>
      <c r="P9" s="57"/>
    </row>
    <row r="10" spans="1:16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N10" s="34"/>
      <c r="P10" s="57"/>
    </row>
    <row r="11" spans="1:16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N11" s="34"/>
      <c r="P11" s="57"/>
    </row>
    <row r="12" spans="1:16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N12" s="34"/>
      <c r="P12" s="57"/>
    </row>
    <row r="13" spans="1:16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N13" s="34"/>
      <c r="P13" s="57"/>
    </row>
    <row r="14" spans="1:16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N14" s="34"/>
      <c r="P14" s="57"/>
    </row>
    <row r="15" spans="1:16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N15" s="34"/>
      <c r="P15" s="57"/>
    </row>
    <row r="16" spans="1:16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N16" s="34"/>
      <c r="P16" s="57"/>
    </row>
    <row r="17" spans="1:21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N17" s="34"/>
      <c r="P17" s="57"/>
    </row>
    <row r="18" spans="1:21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N18" s="34"/>
      <c r="P18" s="57"/>
    </row>
    <row r="19" spans="1:21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N19" s="34"/>
      <c r="P19" s="57"/>
    </row>
    <row r="20" spans="1:21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N20" s="34"/>
      <c r="P20" s="57"/>
    </row>
    <row r="21" spans="1:21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34"/>
      <c r="N21" s="34"/>
      <c r="O21" s="58"/>
      <c r="P21" s="57"/>
      <c r="Q21" s="58"/>
      <c r="R21" s="58"/>
    </row>
    <row r="22" spans="1:21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34"/>
      <c r="N22" s="34"/>
      <c r="O22" s="58"/>
      <c r="P22" s="58"/>
      <c r="Q22" s="58"/>
      <c r="R22" s="58"/>
      <c r="S22" s="58"/>
      <c r="T22" s="58"/>
      <c r="U22" s="58"/>
    </row>
    <row r="23" spans="1:21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34"/>
      <c r="N23" s="34"/>
      <c r="O23" s="58"/>
      <c r="P23" s="57"/>
      <c r="Q23" s="58"/>
    </row>
    <row r="24" spans="1:21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L24" s="57"/>
      <c r="M24" s="57"/>
      <c r="N24" s="57"/>
    </row>
    <row r="25" spans="1:21" x14ac:dyDescent="0.35">
      <c r="L25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B1C6-BE17-497D-9C3F-54A3176D131A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0" width="10.1796875" style="14" customWidth="1"/>
    <col min="11" max="11" width="11.7265625" style="14" customWidth="1"/>
    <col min="12" max="13" width="14.7265625" style="14" customWidth="1"/>
    <col min="14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('07-07'!A2)+17</f>
        <v>46227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</row>
    <row r="5" spans="1:14" x14ac:dyDescent="0.35">
      <c r="A5" s="57"/>
      <c r="B5" s="5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M5" s="34"/>
      <c r="N5" s="34"/>
    </row>
    <row r="6" spans="1:14" x14ac:dyDescent="0.35">
      <c r="A6" s="57"/>
      <c r="B6" s="5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N6" s="57"/>
    </row>
    <row r="7" spans="1:14" x14ac:dyDescent="0.35">
      <c r="A7" s="57"/>
      <c r="B7" s="5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N7" s="57"/>
    </row>
    <row r="8" spans="1:14" x14ac:dyDescent="0.35">
      <c r="A8" s="57"/>
      <c r="B8" s="5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N8" s="57"/>
    </row>
    <row r="9" spans="1:14" x14ac:dyDescent="0.35">
      <c r="A9" s="57"/>
      <c r="B9" s="5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N9" s="57"/>
    </row>
    <row r="10" spans="1:14" x14ac:dyDescent="0.35">
      <c r="A10" s="57"/>
      <c r="B10" s="5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N10" s="57"/>
    </row>
    <row r="11" spans="1:14" x14ac:dyDescent="0.35">
      <c r="A11" s="57"/>
      <c r="B11" s="5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N11" s="57"/>
    </row>
    <row r="12" spans="1:14" x14ac:dyDescent="0.35">
      <c r="A12" s="57"/>
      <c r="B12" s="5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N12" s="57"/>
    </row>
    <row r="13" spans="1:14" x14ac:dyDescent="0.35">
      <c r="A13" s="57"/>
      <c r="B13" s="5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N13" s="57"/>
    </row>
    <row r="14" spans="1:14" x14ac:dyDescent="0.35">
      <c r="A14" s="57"/>
      <c r="B14" s="5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N14" s="57"/>
    </row>
    <row r="15" spans="1:14" x14ac:dyDescent="0.35">
      <c r="A15" s="57"/>
      <c r="B15" s="5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N15" s="57"/>
    </row>
    <row r="16" spans="1:14" x14ac:dyDescent="0.35">
      <c r="A16" s="57"/>
      <c r="B16" s="5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N16" s="57"/>
    </row>
    <row r="17" spans="1:18" x14ac:dyDescent="0.35">
      <c r="A17" s="57"/>
      <c r="B17" s="5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N17" s="57"/>
    </row>
    <row r="18" spans="1:18" x14ac:dyDescent="0.35">
      <c r="A18" s="57"/>
      <c r="B18" s="5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N18" s="57"/>
    </row>
    <row r="19" spans="1:18" x14ac:dyDescent="0.35">
      <c r="A19" s="57"/>
      <c r="B19" s="5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N19" s="58"/>
      <c r="O19" s="58"/>
    </row>
    <row r="20" spans="1:18" x14ac:dyDescent="0.35">
      <c r="A20" s="57"/>
      <c r="B20" s="5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8"/>
      <c r="M20" s="58"/>
      <c r="N20" s="57"/>
    </row>
    <row r="21" spans="1:18" x14ac:dyDescent="0.35">
      <c r="A21" s="57"/>
      <c r="B21" s="5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  <c r="O21" s="58"/>
      <c r="P21" s="58"/>
      <c r="Q21" s="58"/>
    </row>
    <row r="22" spans="1:18" x14ac:dyDescent="0.35">
      <c r="A22" s="57"/>
      <c r="B22" s="5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57"/>
      <c r="B23" s="5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502B-8F6B-45FA-9FE8-C3477FE2FF15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('07-07'!A2)+20</f>
        <v>46230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M4" s="57"/>
    </row>
    <row r="5" spans="1:14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57"/>
      <c r="N6" s="57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57"/>
      <c r="N9" s="57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K25" s="57"/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65A-B403-4118-A71B-02943BB74707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('07-07'!A2)+21</f>
        <v>46231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</row>
    <row r="5" spans="1:14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57"/>
      <c r="N6" s="57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H9" s="14" t="s">
        <v>46</v>
      </c>
      <c r="I9" s="57"/>
      <c r="J9" s="57"/>
      <c r="K9" s="57"/>
      <c r="L9" s="57"/>
      <c r="M9" s="57"/>
      <c r="N9" s="57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8898-2335-4879-894C-07CC3727B8DA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('07-07'!A2)+22</f>
        <v>46232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</row>
    <row r="5" spans="1:14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57"/>
      <c r="N6" s="57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H9" s="14" t="s">
        <v>46</v>
      </c>
      <c r="I9" s="57"/>
      <c r="J9" s="57"/>
      <c r="K9" s="57"/>
      <c r="L9" s="57"/>
      <c r="M9" s="57"/>
      <c r="N9" s="57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F059-5ED8-4693-8B9B-8CC5AA25E0E9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('07-07'!A2)+23</f>
        <v>46233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</row>
    <row r="5" spans="1:14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57"/>
      <c r="N6" s="57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57"/>
      <c r="N9" s="57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D790-8EDF-44BC-8416-247F38DAAD1C}">
  <dimension ref="A1:R26"/>
  <sheetViews>
    <sheetView workbookViewId="0">
      <selection activeCell="B2" sqref="B2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('07-07'!A2)+24</f>
        <v>46234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</row>
    <row r="5" spans="1:14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K5" s="57"/>
      <c r="L5" s="57"/>
      <c r="M5" s="34"/>
      <c r="N5" s="34"/>
    </row>
    <row r="6" spans="1:14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K6" s="57"/>
      <c r="L6" s="57"/>
      <c r="M6" s="57"/>
      <c r="N6" s="57"/>
    </row>
    <row r="7" spans="1:14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K7" s="57"/>
      <c r="L7" s="57"/>
      <c r="M7" s="57"/>
      <c r="N7" s="57"/>
    </row>
    <row r="8" spans="1:14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K8" s="57"/>
      <c r="L8" s="57"/>
      <c r="M8" s="57"/>
      <c r="N8" s="57"/>
    </row>
    <row r="9" spans="1:14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K9" s="57"/>
      <c r="L9" s="57"/>
      <c r="M9" s="57"/>
      <c r="N9" s="57"/>
    </row>
    <row r="10" spans="1:14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K10" s="57"/>
      <c r="L10" s="57"/>
      <c r="M10" s="57"/>
      <c r="N10" s="57"/>
    </row>
    <row r="11" spans="1:14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K11" s="57"/>
      <c r="L11" s="57"/>
      <c r="M11" s="57"/>
      <c r="N11" s="57"/>
    </row>
    <row r="12" spans="1:14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K12" s="57"/>
      <c r="L12" s="57"/>
      <c r="M12" s="57"/>
      <c r="N12" s="57"/>
    </row>
    <row r="13" spans="1:14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K13" s="57"/>
      <c r="L13" s="57"/>
      <c r="M13" s="57"/>
      <c r="N13" s="57"/>
    </row>
    <row r="14" spans="1:14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K14" s="57"/>
      <c r="L14" s="57"/>
      <c r="M14" s="57"/>
      <c r="N14" s="57"/>
    </row>
    <row r="15" spans="1:14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K15" s="57"/>
      <c r="L15" s="57"/>
      <c r="M15" s="57"/>
      <c r="N15" s="57"/>
    </row>
    <row r="16" spans="1:14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K16" s="57"/>
      <c r="L16" s="57"/>
      <c r="M16" s="57"/>
      <c r="N16" s="57"/>
    </row>
    <row r="17" spans="1:18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K17" s="57"/>
      <c r="L17" s="57"/>
      <c r="M17" s="57"/>
      <c r="N17" s="57"/>
    </row>
    <row r="18" spans="1:18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K18" s="57"/>
      <c r="L18" s="57"/>
      <c r="M18" s="57"/>
      <c r="N18" s="57"/>
    </row>
    <row r="19" spans="1:18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K20" s="57"/>
      <c r="L20" s="57"/>
      <c r="M20" s="57"/>
      <c r="N20" s="57"/>
    </row>
    <row r="21" spans="1:18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K21" s="57"/>
      <c r="L21" s="57"/>
      <c r="M21" s="57"/>
      <c r="N21" s="57"/>
    </row>
    <row r="22" spans="1:18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3F12-4A9D-486A-AB89-75763DB2C7E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25"/>
  <sheetViews>
    <sheetView workbookViewId="0">
      <selection activeCell="Q19" sqref="Q19"/>
    </sheetView>
  </sheetViews>
  <sheetFormatPr defaultColWidth="9.1796875" defaultRowHeight="14.5" x14ac:dyDescent="0.35"/>
  <cols>
    <col min="1" max="1" width="27.179687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16384" width="9.1796875" style="14"/>
  </cols>
  <sheetData>
    <row r="1" spans="1:17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7" x14ac:dyDescent="0.35">
      <c r="A2" s="59">
        <f>('07-07'!A2)+22</f>
        <v>46232</v>
      </c>
      <c r="B2" s="12"/>
      <c r="C2" s="13"/>
      <c r="D2"/>
      <c r="E2" s="1"/>
      <c r="F2"/>
      <c r="G2"/>
      <c r="I2" s="27"/>
    </row>
    <row r="3" spans="1:17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N3" s="57"/>
    </row>
    <row r="4" spans="1:17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L4" s="57"/>
      <c r="N4" s="57"/>
    </row>
    <row r="5" spans="1:17" x14ac:dyDescent="0.35">
      <c r="A5" s="6" t="s">
        <v>27</v>
      </c>
      <c r="B5" s="7" t="s">
        <v>47</v>
      </c>
      <c r="C5" s="7">
        <v>10.9445</v>
      </c>
      <c r="D5" s="7">
        <v>10.955500000000001</v>
      </c>
      <c r="E5" s="15">
        <f t="shared" ref="E5:E17" si="0">SUM(C5:D5)/2</f>
        <v>10.95</v>
      </c>
      <c r="F5"/>
      <c r="G5" s="16">
        <f>IF(E5=0," ",1/E5)</f>
        <v>9.1324200913242018E-2</v>
      </c>
      <c r="I5" s="57"/>
      <c r="J5" s="57"/>
      <c r="K5" s="57"/>
      <c r="L5" s="57"/>
      <c r="M5" s="34"/>
      <c r="N5" s="34"/>
      <c r="O5" s="57"/>
      <c r="Q5" s="57"/>
    </row>
    <row r="6" spans="1:17" x14ac:dyDescent="0.35">
      <c r="A6" s="6" t="s">
        <v>28</v>
      </c>
      <c r="B6" s="7" t="s">
        <v>48</v>
      </c>
      <c r="C6" s="7">
        <v>15.0159</v>
      </c>
      <c r="D6" s="7">
        <v>15.032</v>
      </c>
      <c r="E6" s="15">
        <f t="shared" si="0"/>
        <v>15.023949999999999</v>
      </c>
      <c r="F6"/>
      <c r="G6" s="16">
        <f t="shared" ref="G6:G17" si="1">IF(E6=0," ",1/E6)</f>
        <v>6.6560391907587557E-2</v>
      </c>
      <c r="I6" s="57"/>
      <c r="J6" s="57"/>
      <c r="K6" s="57"/>
      <c r="L6" s="57"/>
      <c r="M6" s="57"/>
      <c r="N6" s="57"/>
      <c r="O6" s="57"/>
      <c r="P6" s="57"/>
      <c r="Q6" s="57"/>
    </row>
    <row r="7" spans="1:17" x14ac:dyDescent="0.35">
      <c r="A7" s="6" t="s">
        <v>29</v>
      </c>
      <c r="B7" s="7" t="s">
        <v>49</v>
      </c>
      <c r="C7" s="7">
        <v>14.200799999999999</v>
      </c>
      <c r="D7" s="7">
        <v>14.2133</v>
      </c>
      <c r="E7" s="17">
        <f t="shared" si="0"/>
        <v>14.207049999999999</v>
      </c>
      <c r="F7"/>
      <c r="G7" s="18">
        <f t="shared" si="1"/>
        <v>7.0387589260261632E-2</v>
      </c>
      <c r="I7" s="57"/>
      <c r="J7" s="57"/>
      <c r="K7" s="57"/>
      <c r="L7" s="57"/>
      <c r="M7" s="57"/>
      <c r="N7" s="57"/>
      <c r="O7" s="57"/>
      <c r="P7" s="57"/>
      <c r="Q7" s="57"/>
    </row>
    <row r="8" spans="1:17" x14ac:dyDescent="0.35">
      <c r="A8" s="6" t="s">
        <v>30</v>
      </c>
      <c r="B8" s="7" t="s">
        <v>50</v>
      </c>
      <c r="C8" s="7">
        <v>7.6581000000000001</v>
      </c>
      <c r="D8" s="7">
        <v>7.6677999999999997</v>
      </c>
      <c r="E8" s="17">
        <f t="shared" si="0"/>
        <v>7.6629500000000004</v>
      </c>
      <c r="F8"/>
      <c r="G8" s="18">
        <f t="shared" si="1"/>
        <v>0.13049804579176427</v>
      </c>
      <c r="I8" s="57"/>
      <c r="J8" s="57"/>
      <c r="K8" s="57"/>
      <c r="L8" s="57"/>
      <c r="M8" s="57"/>
      <c r="N8" s="57"/>
      <c r="O8" s="57"/>
      <c r="P8" s="57"/>
      <c r="Q8" s="57"/>
    </row>
    <row r="9" spans="1:17" x14ac:dyDescent="0.35">
      <c r="A9" s="6" t="s">
        <v>31</v>
      </c>
      <c r="B9" s="7" t="s">
        <v>51</v>
      </c>
      <c r="C9" s="7">
        <v>8.0725999999999996</v>
      </c>
      <c r="D9" s="7">
        <v>8.0803999999999991</v>
      </c>
      <c r="E9" s="17">
        <f t="shared" si="0"/>
        <v>8.0764999999999993</v>
      </c>
      <c r="F9"/>
      <c r="G9" s="18">
        <f t="shared" si="1"/>
        <v>0.12381600941001672</v>
      </c>
      <c r="I9" s="57"/>
      <c r="J9" s="57"/>
      <c r="K9" s="57"/>
      <c r="L9" s="57"/>
      <c r="M9" s="57"/>
      <c r="N9" s="57"/>
      <c r="O9" s="57"/>
      <c r="P9" s="57"/>
      <c r="Q9" s="57"/>
    </row>
    <row r="10" spans="1:17" x14ac:dyDescent="0.35">
      <c r="A10" s="6" t="s">
        <v>32</v>
      </c>
      <c r="B10" s="7" t="s">
        <v>52</v>
      </c>
      <c r="C10" s="7">
        <v>1.7415</v>
      </c>
      <c r="D10" s="7">
        <v>1.7431000000000001</v>
      </c>
      <c r="E10" s="17">
        <f t="shared" si="0"/>
        <v>1.7423000000000002</v>
      </c>
      <c r="F10"/>
      <c r="G10" s="18">
        <f t="shared" si="1"/>
        <v>0.57395396889169481</v>
      </c>
      <c r="I10" s="57"/>
      <c r="J10" s="57"/>
      <c r="K10" s="57"/>
      <c r="L10" s="57"/>
      <c r="M10" s="57"/>
      <c r="N10" s="57"/>
      <c r="O10" s="57"/>
      <c r="P10" s="57"/>
      <c r="Q10" s="57"/>
    </row>
    <row r="11" spans="1:17" x14ac:dyDescent="0.35">
      <c r="A11" s="6" t="s">
        <v>33</v>
      </c>
      <c r="B11" s="7" t="s">
        <v>53</v>
      </c>
      <c r="C11" s="7">
        <v>7.0900000000000005E-2</v>
      </c>
      <c r="D11" s="7">
        <v>7.0999999999999994E-2</v>
      </c>
      <c r="E11" s="17">
        <f t="shared" si="0"/>
        <v>7.0949999999999999E-2</v>
      </c>
      <c r="F11"/>
      <c r="G11" s="18">
        <f t="shared" si="1"/>
        <v>14.094432699083862</v>
      </c>
      <c r="I11" s="57"/>
      <c r="J11" s="57"/>
      <c r="K11" s="57"/>
      <c r="L11" s="57"/>
      <c r="M11" s="57"/>
      <c r="N11" s="57"/>
      <c r="O11" s="57"/>
      <c r="P11" s="57"/>
      <c r="Q11" s="57"/>
    </row>
    <row r="12" spans="1:17" x14ac:dyDescent="0.35">
      <c r="A12" s="6" t="s">
        <v>34</v>
      </c>
      <c r="B12" s="7" t="s">
        <v>54</v>
      </c>
      <c r="C12" s="7">
        <v>6.6189999999999998</v>
      </c>
      <c r="D12" s="7">
        <v>6.6261000000000001</v>
      </c>
      <c r="E12" s="17">
        <f t="shared" si="0"/>
        <v>6.6225500000000004</v>
      </c>
      <c r="F12"/>
      <c r="G12" s="18">
        <f t="shared" si="1"/>
        <v>0.15099923745385085</v>
      </c>
      <c r="I12" s="57"/>
      <c r="J12" s="57"/>
      <c r="K12" s="57"/>
      <c r="L12" s="57"/>
      <c r="M12" s="57"/>
      <c r="N12" s="57"/>
      <c r="O12" s="57"/>
      <c r="P12" s="57"/>
      <c r="Q12" s="57"/>
    </row>
    <row r="13" spans="1:17" x14ac:dyDescent="0.35">
      <c r="A13" s="6" t="s">
        <v>35</v>
      </c>
      <c r="B13" s="7" t="s">
        <v>55</v>
      </c>
      <c r="C13" s="7">
        <v>1.1403000000000001</v>
      </c>
      <c r="D13" s="7">
        <v>1.141</v>
      </c>
      <c r="E13" s="17">
        <f t="shared" si="0"/>
        <v>1.1406499999999999</v>
      </c>
      <c r="F13"/>
      <c r="G13" s="18">
        <f t="shared" si="1"/>
        <v>0.87669311357559288</v>
      </c>
      <c r="I13" s="57"/>
      <c r="J13" s="57"/>
      <c r="K13" s="57"/>
      <c r="L13" s="57"/>
      <c r="M13" s="57"/>
      <c r="N13" s="57"/>
      <c r="O13" s="57"/>
      <c r="P13" s="57"/>
      <c r="Q13" s="57"/>
    </row>
    <row r="14" spans="1:17" x14ac:dyDescent="0.35">
      <c r="A14" s="6" t="s">
        <v>36</v>
      </c>
      <c r="B14" s="7" t="s">
        <v>56</v>
      </c>
      <c r="C14" s="7">
        <v>1.2344999999999999</v>
      </c>
      <c r="D14" s="7">
        <v>1.2354000000000001</v>
      </c>
      <c r="E14" s="17">
        <f t="shared" si="0"/>
        <v>1.23495</v>
      </c>
      <c r="F14"/>
      <c r="G14" s="18">
        <f t="shared" si="1"/>
        <v>0.80974938256609574</v>
      </c>
      <c r="I14" s="57"/>
      <c r="J14" s="57"/>
      <c r="K14" s="57"/>
      <c r="L14" s="57"/>
      <c r="M14" s="57"/>
      <c r="N14" s="57"/>
      <c r="O14" s="57"/>
      <c r="P14" s="57"/>
      <c r="Q14" s="57"/>
    </row>
    <row r="15" spans="1:17" x14ac:dyDescent="0.35">
      <c r="A15" s="6" t="s">
        <v>37</v>
      </c>
      <c r="B15" s="7" t="s">
        <v>57</v>
      </c>
      <c r="C15" s="7">
        <v>0.68379999999999996</v>
      </c>
      <c r="D15" s="7">
        <v>0.68410000000000004</v>
      </c>
      <c r="E15" s="17">
        <f t="shared" si="0"/>
        <v>0.68395000000000006</v>
      </c>
      <c r="F15"/>
      <c r="G15" s="18">
        <f t="shared" si="1"/>
        <v>1.4620951823963739</v>
      </c>
      <c r="I15" s="57"/>
      <c r="J15" s="57"/>
      <c r="K15" s="57"/>
      <c r="L15" s="57"/>
      <c r="M15" s="57"/>
      <c r="N15" s="57"/>
      <c r="O15" s="57"/>
      <c r="P15" s="57"/>
      <c r="Q15" s="57"/>
    </row>
    <row r="16" spans="1:17" x14ac:dyDescent="0.35">
      <c r="A16" s="6" t="s">
        <v>38</v>
      </c>
      <c r="B16" s="7" t="s">
        <v>58</v>
      </c>
      <c r="C16" s="7">
        <v>13.0053</v>
      </c>
      <c r="D16" s="7">
        <v>13.016999999999999</v>
      </c>
      <c r="E16" s="15">
        <f t="shared" si="0"/>
        <v>13.011150000000001</v>
      </c>
      <c r="F16"/>
      <c r="G16" s="16">
        <f t="shared" si="1"/>
        <v>7.6857157130614889E-2</v>
      </c>
      <c r="I16" s="57"/>
      <c r="J16" s="57"/>
      <c r="K16" s="57"/>
      <c r="L16" s="57"/>
      <c r="M16" s="57"/>
      <c r="N16" s="57"/>
      <c r="O16" s="57"/>
      <c r="P16" s="57"/>
      <c r="Q16" s="57"/>
    </row>
    <row r="17" spans="1:20" x14ac:dyDescent="0.35">
      <c r="A17" s="6" t="s">
        <v>39</v>
      </c>
      <c r="B17" s="7" t="s">
        <v>59</v>
      </c>
      <c r="C17" s="7">
        <v>1.5741000000000001</v>
      </c>
      <c r="D17" s="7">
        <v>1.5753999999999999</v>
      </c>
      <c r="E17" s="17">
        <f t="shared" si="0"/>
        <v>1.5747499999999999</v>
      </c>
      <c r="F17"/>
      <c r="G17" s="18">
        <f t="shared" si="1"/>
        <v>0.63502143197332916</v>
      </c>
      <c r="I17" s="57"/>
      <c r="J17" s="57"/>
      <c r="K17" s="57"/>
      <c r="L17" s="57"/>
      <c r="M17" s="57"/>
      <c r="N17" s="57"/>
      <c r="O17" s="57"/>
      <c r="P17" s="57"/>
      <c r="Q17" s="57"/>
    </row>
    <row r="18" spans="1:20" x14ac:dyDescent="0.35">
      <c r="A18" s="6" t="s">
        <v>40</v>
      </c>
      <c r="B18" s="7" t="s">
        <v>60</v>
      </c>
      <c r="C18" s="7">
        <v>50.392299999999999</v>
      </c>
      <c r="D18" s="7">
        <v>50.4377</v>
      </c>
      <c r="E18" s="19">
        <f>IF(G18=0," ",1/G18)</f>
        <v>1.9835366458395318E-2</v>
      </c>
      <c r="F18"/>
      <c r="G18" s="20">
        <f>SUM(C18:D18)/2</f>
        <v>50.414999999999999</v>
      </c>
      <c r="I18" s="57"/>
      <c r="J18" s="57"/>
      <c r="K18" s="57"/>
      <c r="L18" s="57"/>
      <c r="M18" s="57"/>
      <c r="N18" s="57"/>
      <c r="O18" s="57"/>
      <c r="P18" s="57"/>
      <c r="Q18" s="57"/>
    </row>
    <row r="19" spans="1:20" x14ac:dyDescent="0.35">
      <c r="A19" s="6" t="s">
        <v>41</v>
      </c>
      <c r="B19" s="7" t="s">
        <v>61</v>
      </c>
      <c r="C19" s="7">
        <v>6.6096000000000004</v>
      </c>
      <c r="D19" s="7">
        <v>6.6097999999999999</v>
      </c>
      <c r="E19" s="21">
        <f>IF(G19=0," ",1/G19)</f>
        <v>0.15129279694993722</v>
      </c>
      <c r="F19"/>
      <c r="G19" s="22">
        <f>SUM(C19:D19)/2</f>
        <v>6.6097000000000001</v>
      </c>
      <c r="I19" s="57"/>
      <c r="J19" s="57"/>
      <c r="K19" s="57"/>
      <c r="L19" s="57"/>
      <c r="M19" s="57"/>
      <c r="N19" s="57"/>
      <c r="O19" s="57"/>
      <c r="P19" s="57"/>
      <c r="Q19" s="57"/>
    </row>
    <row r="20" spans="1:20" x14ac:dyDescent="0.35">
      <c r="A20" s="6" t="s">
        <v>42</v>
      </c>
      <c r="B20" s="7" t="s">
        <v>62</v>
      </c>
      <c r="C20" s="7">
        <v>32.602699999999999</v>
      </c>
      <c r="D20" s="7">
        <v>32.694099999999999</v>
      </c>
      <c r="E20" s="21">
        <f>IF(G20=0," ",1/G20)</f>
        <v>3.0629372342901955E-2</v>
      </c>
      <c r="F20"/>
      <c r="G20" s="22">
        <f>SUM(C20:D20)/2</f>
        <v>32.648399999999995</v>
      </c>
      <c r="I20" s="57"/>
      <c r="J20" s="57"/>
      <c r="K20" s="57"/>
      <c r="L20" s="57"/>
      <c r="M20" s="57"/>
      <c r="N20" s="57"/>
      <c r="O20" s="57"/>
      <c r="P20" s="57"/>
      <c r="Q20" s="57"/>
    </row>
    <row r="21" spans="1:20" x14ac:dyDescent="0.35">
      <c r="A21" s="6" t="s">
        <v>43</v>
      </c>
      <c r="B21" s="7" t="s">
        <v>63</v>
      </c>
      <c r="C21" s="7">
        <v>126.7744</v>
      </c>
      <c r="D21" s="7">
        <v>126.8685</v>
      </c>
      <c r="E21" s="21">
        <f>IF(G21=0," ",1/G21)</f>
        <v>7.8851014556291545E-3</v>
      </c>
      <c r="F21"/>
      <c r="G21" s="22">
        <f>SUM(C21:D21)/2</f>
        <v>126.82145</v>
      </c>
      <c r="I21" s="57"/>
      <c r="J21" s="57"/>
      <c r="K21" s="57"/>
      <c r="L21" s="57"/>
      <c r="M21" s="57"/>
      <c r="N21" s="57"/>
      <c r="O21" s="57"/>
      <c r="P21" s="57"/>
      <c r="Q21" s="57"/>
    </row>
    <row r="22" spans="1:20" x14ac:dyDescent="0.35">
      <c r="A22" s="6" t="s">
        <v>44</v>
      </c>
      <c r="B22" s="7" t="s">
        <v>64</v>
      </c>
      <c r="C22" s="7">
        <v>2176.3463000000002</v>
      </c>
      <c r="D22" s="7">
        <v>2209.3379</v>
      </c>
      <c r="E22" s="23">
        <f>IF(G22=0," ",1/G22)</f>
        <v>4.5602918696243565E-4</v>
      </c>
      <c r="F22"/>
      <c r="G22" s="24">
        <f>SUM(C22:D22)/2</f>
        <v>2192.8420999999998</v>
      </c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8"/>
      <c r="T22" s="58"/>
    </row>
    <row r="23" spans="1:20" x14ac:dyDescent="0.35">
      <c r="A23" s="6" t="s">
        <v>45</v>
      </c>
      <c r="B23" s="7" t="s">
        <v>65</v>
      </c>
      <c r="C23" s="7">
        <v>1.4200000000000001E-2</v>
      </c>
      <c r="D23" s="7">
        <v>1.4200000000000001E-2</v>
      </c>
      <c r="E23" s="17">
        <f>SUM(C23:D23)/2</f>
        <v>1.4200000000000001E-2</v>
      </c>
      <c r="F23"/>
      <c r="G23" s="18">
        <f>IF(E23=0," ",1/E23)</f>
        <v>70.422535211267601</v>
      </c>
      <c r="I23" s="57"/>
      <c r="J23" s="57"/>
      <c r="K23" s="57"/>
      <c r="L23" s="57"/>
      <c r="M23" s="57"/>
      <c r="N23" s="57"/>
      <c r="O23" s="57"/>
      <c r="P23" s="57"/>
      <c r="Q23" s="58"/>
      <c r="R23" s="58"/>
    </row>
    <row r="24" spans="1:20" x14ac:dyDescent="0.35">
      <c r="E24" s="17">
        <f>SUM(C24:D24)/2</f>
        <v>0</v>
      </c>
      <c r="F24"/>
      <c r="G24" s="18" t="str">
        <f>IF(E24=0," ",1/E24)</f>
        <v xml:space="preserve"> </v>
      </c>
      <c r="I24" s="57"/>
      <c r="J24" s="57"/>
      <c r="K24" s="57"/>
      <c r="L24" s="57"/>
      <c r="M24" s="57"/>
      <c r="N24" s="57"/>
      <c r="O24" s="57"/>
      <c r="P24" s="57"/>
    </row>
    <row r="25" spans="1:20" x14ac:dyDescent="0.35">
      <c r="J25" s="57"/>
      <c r="K25" s="57"/>
      <c r="L25" s="57"/>
      <c r="M25" s="57"/>
      <c r="N25" s="57"/>
      <c r="O25" s="57"/>
      <c r="P25" s="57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6"/>
  <sheetViews>
    <sheetView workbookViewId="0">
      <selection activeCell="S8" sqref="S8"/>
    </sheetView>
  </sheetViews>
  <sheetFormatPr defaultColWidth="9.1796875" defaultRowHeight="14.5" x14ac:dyDescent="0.35"/>
  <cols>
    <col min="1" max="1" width="27.81640625" style="14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26953125" style="14" customWidth="1"/>
    <col min="7" max="7" width="11.54296875" style="14" bestFit="1" customWidth="1"/>
    <col min="8" max="8" width="9.1796875" style="14"/>
    <col min="9" max="9" width="10" style="14" bestFit="1" customWidth="1"/>
    <col min="10" max="10" width="10.1796875" style="14" customWidth="1"/>
    <col min="11" max="11" width="11.7265625" style="14" customWidth="1"/>
    <col min="12" max="13" width="14.7265625" style="14" customWidth="1"/>
    <col min="14" max="16384" width="9.1796875" style="14"/>
  </cols>
  <sheetData>
    <row r="1" spans="1:14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4" x14ac:dyDescent="0.35">
      <c r="A2" s="59">
        <f>('07-07'!A2)+20</f>
        <v>46230</v>
      </c>
      <c r="B2" s="12"/>
      <c r="C2" s="13"/>
      <c r="D2"/>
      <c r="E2" s="1"/>
      <c r="F2"/>
      <c r="G2"/>
      <c r="I2" s="57"/>
      <c r="J2" s="57"/>
      <c r="K2" s="57"/>
    </row>
    <row r="3" spans="1:14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  <c r="K3" s="57"/>
    </row>
    <row r="4" spans="1:14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K4" s="57"/>
      <c r="L4" s="57"/>
    </row>
    <row r="5" spans="1:14" x14ac:dyDescent="0.35">
      <c r="A5" s="57" t="s">
        <v>27</v>
      </c>
      <c r="B5" s="57" t="s">
        <v>47</v>
      </c>
      <c r="C5" s="14">
        <v>10.9145</v>
      </c>
      <c r="D5" s="14">
        <v>10.9255</v>
      </c>
      <c r="E5" s="15">
        <f t="shared" ref="E5:E17" si="0">SUM(C5:D5)/2</f>
        <v>10.92</v>
      </c>
      <c r="F5"/>
      <c r="G5" s="16">
        <f>IF(E5=0," ",1/E5)</f>
        <v>9.1575091575091569E-2</v>
      </c>
      <c r="I5" s="57"/>
      <c r="J5" s="57"/>
      <c r="K5" s="57"/>
      <c r="L5" s="57"/>
      <c r="M5" s="34"/>
      <c r="N5" s="34"/>
    </row>
    <row r="6" spans="1:14" x14ac:dyDescent="0.35">
      <c r="A6" s="57" t="s">
        <v>28</v>
      </c>
      <c r="B6" s="57" t="s">
        <v>48</v>
      </c>
      <c r="C6" s="14">
        <v>15.0359</v>
      </c>
      <c r="D6" s="14">
        <v>15.052</v>
      </c>
      <c r="E6" s="15">
        <f t="shared" si="0"/>
        <v>15.043949999999999</v>
      </c>
      <c r="F6"/>
      <c r="G6" s="16">
        <f t="shared" ref="G6:G17" si="1">IF(E6=0," ",1/E6)</f>
        <v>6.647190398798189E-2</v>
      </c>
      <c r="I6" s="57"/>
      <c r="J6" s="57"/>
      <c r="K6" s="57"/>
      <c r="L6" s="57"/>
      <c r="M6" s="57"/>
      <c r="N6" s="57"/>
    </row>
    <row r="7" spans="1:14" x14ac:dyDescent="0.35">
      <c r="A7" s="57" t="s">
        <v>29</v>
      </c>
      <c r="B7" s="57" t="s">
        <v>49</v>
      </c>
      <c r="C7" s="14">
        <v>14.1701</v>
      </c>
      <c r="D7" s="14">
        <v>14.182600000000001</v>
      </c>
      <c r="E7" s="17">
        <f t="shared" si="0"/>
        <v>14.176349999999999</v>
      </c>
      <c r="F7"/>
      <c r="G7" s="18">
        <f t="shared" si="1"/>
        <v>7.0540019116345179E-2</v>
      </c>
      <c r="I7" s="57"/>
      <c r="J7" s="57"/>
      <c r="K7" s="57"/>
      <c r="L7" s="57"/>
      <c r="M7" s="57"/>
      <c r="N7" s="57"/>
    </row>
    <row r="8" spans="1:14" x14ac:dyDescent="0.35">
      <c r="A8" s="57" t="s">
        <v>30</v>
      </c>
      <c r="B8" s="57" t="s">
        <v>50</v>
      </c>
      <c r="C8" s="57">
        <v>7.6307</v>
      </c>
      <c r="D8" s="34">
        <v>7.6388999999999996</v>
      </c>
      <c r="E8" s="17">
        <f t="shared" si="0"/>
        <v>7.6348000000000003</v>
      </c>
      <c r="F8"/>
      <c r="G8" s="18">
        <f t="shared" si="1"/>
        <v>0.13097920050296014</v>
      </c>
      <c r="I8" s="57"/>
      <c r="J8" s="57"/>
      <c r="K8" s="57"/>
      <c r="L8" s="57"/>
      <c r="M8" s="57"/>
      <c r="N8" s="57"/>
    </row>
    <row r="9" spans="1:14" x14ac:dyDescent="0.35">
      <c r="A9" s="57" t="s">
        <v>31</v>
      </c>
      <c r="B9" s="57" t="s">
        <v>51</v>
      </c>
      <c r="C9" s="57">
        <v>8.0396999999999998</v>
      </c>
      <c r="D9" s="57">
        <v>8.0470000000000006</v>
      </c>
      <c r="E9" s="17">
        <f t="shared" si="0"/>
        <v>8.0433500000000002</v>
      </c>
      <c r="F9"/>
      <c r="G9" s="18">
        <f t="shared" si="1"/>
        <v>0.12432630682489261</v>
      </c>
      <c r="I9" s="57"/>
      <c r="J9" s="57"/>
      <c r="K9" s="57"/>
      <c r="L9" s="57"/>
      <c r="M9" s="57"/>
      <c r="N9" s="57"/>
    </row>
    <row r="10" spans="1:14" x14ac:dyDescent="0.35">
      <c r="A10" s="57" t="s">
        <v>32</v>
      </c>
      <c r="B10" s="57" t="s">
        <v>52</v>
      </c>
      <c r="C10" s="57">
        <v>1.7445999999999999</v>
      </c>
      <c r="D10" s="57">
        <v>1.746</v>
      </c>
      <c r="E10" s="17">
        <f t="shared" si="0"/>
        <v>1.7452999999999999</v>
      </c>
      <c r="F10"/>
      <c r="G10" s="18">
        <f t="shared" si="1"/>
        <v>0.57296739815504505</v>
      </c>
      <c r="I10" s="57"/>
      <c r="J10" s="57"/>
      <c r="K10" s="57"/>
      <c r="L10" s="57"/>
      <c r="M10" s="57"/>
      <c r="N10" s="57"/>
    </row>
    <row r="11" spans="1:14" x14ac:dyDescent="0.35">
      <c r="A11" s="57" t="s">
        <v>33</v>
      </c>
      <c r="B11" s="57" t="s">
        <v>53</v>
      </c>
      <c r="C11" s="57">
        <v>7.0999999999999994E-2</v>
      </c>
      <c r="D11" s="57">
        <v>7.1099999999999997E-2</v>
      </c>
      <c r="E11" s="17">
        <f t="shared" si="0"/>
        <v>7.1050000000000002E-2</v>
      </c>
      <c r="F11"/>
      <c r="G11" s="18">
        <f t="shared" si="1"/>
        <v>14.074595355383533</v>
      </c>
      <c r="I11" s="57"/>
      <c r="J11" s="57"/>
      <c r="K11" s="57"/>
      <c r="L11" s="57"/>
      <c r="M11" s="57"/>
      <c r="N11" s="57"/>
    </row>
    <row r="12" spans="1:14" x14ac:dyDescent="0.35">
      <c r="A12" s="57" t="s">
        <v>34</v>
      </c>
      <c r="B12" s="57" t="s">
        <v>54</v>
      </c>
      <c r="C12" s="57">
        <v>6.5781999999999998</v>
      </c>
      <c r="D12" s="57">
        <v>6.5868000000000002</v>
      </c>
      <c r="E12" s="17">
        <f t="shared" si="0"/>
        <v>6.5824999999999996</v>
      </c>
      <c r="F12"/>
      <c r="G12" s="18">
        <f t="shared" si="1"/>
        <v>0.1519179642992784</v>
      </c>
      <c r="I12" s="57"/>
      <c r="J12" s="57"/>
      <c r="K12" s="57"/>
      <c r="L12" s="57"/>
      <c r="M12" s="57"/>
      <c r="N12" s="57"/>
    </row>
    <row r="13" spans="1:14" x14ac:dyDescent="0.35">
      <c r="A13" s="57" t="s">
        <v>35</v>
      </c>
      <c r="B13" s="57" t="s">
        <v>55</v>
      </c>
      <c r="C13" s="57">
        <v>1.1327</v>
      </c>
      <c r="D13" s="57">
        <v>1.1335999999999999</v>
      </c>
      <c r="E13" s="17">
        <f t="shared" si="0"/>
        <v>1.1331500000000001</v>
      </c>
      <c r="F13"/>
      <c r="G13" s="18">
        <f t="shared" si="1"/>
        <v>0.88249569783347304</v>
      </c>
      <c r="I13" s="57"/>
      <c r="J13" s="57"/>
      <c r="K13" s="57"/>
      <c r="L13" s="57"/>
      <c r="M13" s="57"/>
      <c r="N13" s="57"/>
    </row>
    <row r="14" spans="1:14" x14ac:dyDescent="0.35">
      <c r="A14" s="57" t="s">
        <v>36</v>
      </c>
      <c r="B14" s="57" t="s">
        <v>56</v>
      </c>
      <c r="C14" s="57">
        <v>1.2310000000000001</v>
      </c>
      <c r="D14" s="57">
        <v>1.2319</v>
      </c>
      <c r="E14" s="17">
        <f t="shared" si="0"/>
        <v>1.2314500000000002</v>
      </c>
      <c r="F14"/>
      <c r="G14" s="18">
        <f t="shared" si="1"/>
        <v>0.81205083438223225</v>
      </c>
      <c r="I14" s="57"/>
      <c r="J14" s="57"/>
      <c r="K14" s="57"/>
      <c r="L14" s="57"/>
      <c r="M14" s="57"/>
      <c r="N14" s="57"/>
    </row>
    <row r="15" spans="1:14" x14ac:dyDescent="0.35">
      <c r="A15" s="57" t="s">
        <v>37</v>
      </c>
      <c r="B15" s="57" t="s">
        <v>57</v>
      </c>
      <c r="C15" s="57">
        <v>0.68569999999999998</v>
      </c>
      <c r="D15" s="57">
        <v>0.68589999999999995</v>
      </c>
      <c r="E15" s="17">
        <f t="shared" si="0"/>
        <v>0.68579999999999997</v>
      </c>
      <c r="F15"/>
      <c r="G15" s="18">
        <f t="shared" si="1"/>
        <v>1.4581510644502771</v>
      </c>
      <c r="I15" s="57"/>
      <c r="J15" s="57"/>
      <c r="K15" s="57"/>
      <c r="L15" s="57"/>
      <c r="M15" s="57"/>
      <c r="N15" s="57"/>
    </row>
    <row r="16" spans="1:14" x14ac:dyDescent="0.35">
      <c r="A16" s="57" t="s">
        <v>38</v>
      </c>
      <c r="B16" s="57" t="s">
        <v>58</v>
      </c>
      <c r="C16" s="57">
        <v>13.026</v>
      </c>
      <c r="D16" s="57">
        <v>13.037699999999999</v>
      </c>
      <c r="E16" s="15">
        <f t="shared" si="0"/>
        <v>13.031849999999999</v>
      </c>
      <c r="F16"/>
      <c r="G16" s="16">
        <f t="shared" si="1"/>
        <v>7.6735075986908999E-2</v>
      </c>
      <c r="I16" s="57"/>
      <c r="J16" s="57"/>
      <c r="K16" s="57"/>
      <c r="L16" s="57"/>
      <c r="M16" s="57"/>
      <c r="N16" s="57"/>
    </row>
    <row r="17" spans="1:18" x14ac:dyDescent="0.35">
      <c r="A17" s="57" t="s">
        <v>39</v>
      </c>
      <c r="B17" s="57" t="s">
        <v>59</v>
      </c>
      <c r="C17" s="57">
        <v>1.57</v>
      </c>
      <c r="D17" s="57">
        <v>1.5716000000000001</v>
      </c>
      <c r="E17" s="17">
        <f t="shared" si="0"/>
        <v>1.5708000000000002</v>
      </c>
      <c r="F17"/>
      <c r="G17" s="18">
        <f t="shared" si="1"/>
        <v>0.63661828367710716</v>
      </c>
      <c r="I17" s="57"/>
      <c r="J17" s="57"/>
      <c r="K17" s="57"/>
      <c r="L17" s="57"/>
      <c r="M17" s="57"/>
      <c r="N17" s="57"/>
    </row>
    <row r="18" spans="1:18" x14ac:dyDescent="0.35">
      <c r="A18" s="57" t="s">
        <v>40</v>
      </c>
      <c r="B18" s="57" t="s">
        <v>60</v>
      </c>
      <c r="C18" s="57">
        <v>50.3123</v>
      </c>
      <c r="D18" s="57">
        <v>50.357500000000002</v>
      </c>
      <c r="E18" s="19">
        <f>IF(G18=0," ",1/G18)</f>
        <v>1.9866931294191502E-2</v>
      </c>
      <c r="F18"/>
      <c r="G18" s="20">
        <f>SUM(C18:D18)/2</f>
        <v>50.334900000000005</v>
      </c>
      <c r="I18" s="57"/>
      <c r="J18" s="57"/>
      <c r="K18" s="57"/>
      <c r="L18" s="57"/>
      <c r="M18" s="57"/>
      <c r="N18" s="57"/>
    </row>
    <row r="19" spans="1:18" x14ac:dyDescent="0.35">
      <c r="A19" s="57" t="s">
        <v>41</v>
      </c>
      <c r="B19" s="57" t="s">
        <v>61</v>
      </c>
      <c r="C19" s="57">
        <v>6.6276999999999999</v>
      </c>
      <c r="D19" s="57">
        <v>6.6574999999999998</v>
      </c>
      <c r="E19" s="21">
        <f>IF(G19=0," ",1/G19)</f>
        <v>0.1505434618974498</v>
      </c>
      <c r="F19"/>
      <c r="G19" s="22">
        <f>SUM(C19:D19)/2</f>
        <v>6.6425999999999998</v>
      </c>
      <c r="I19" s="57"/>
      <c r="J19" s="57"/>
      <c r="K19" s="57"/>
      <c r="L19" s="57"/>
      <c r="M19" s="58"/>
      <c r="N19" s="58"/>
      <c r="O19" s="58"/>
    </row>
    <row r="20" spans="1:18" x14ac:dyDescent="0.35">
      <c r="A20" s="57" t="s">
        <v>42</v>
      </c>
      <c r="B20" s="57" t="s">
        <v>62</v>
      </c>
      <c r="C20" s="57">
        <v>32.692300000000003</v>
      </c>
      <c r="D20" s="57">
        <v>32.783900000000003</v>
      </c>
      <c r="E20" s="21">
        <f>IF(G20=0," ",1/G20)</f>
        <v>3.0545450102479981E-2</v>
      </c>
      <c r="F20"/>
      <c r="G20" s="22">
        <f>SUM(C20:D20)/2</f>
        <v>32.738100000000003</v>
      </c>
      <c r="I20" s="57"/>
      <c r="J20" s="57"/>
      <c r="K20" s="57"/>
      <c r="L20" s="57"/>
      <c r="M20" s="57"/>
      <c r="N20" s="57"/>
    </row>
    <row r="21" spans="1:18" x14ac:dyDescent="0.35">
      <c r="A21" s="57" t="s">
        <v>43</v>
      </c>
      <c r="B21" s="57" t="s">
        <v>63</v>
      </c>
      <c r="C21" s="57">
        <v>127.31140000000001</v>
      </c>
      <c r="D21" s="57">
        <v>128.21979999999999</v>
      </c>
      <c r="E21" s="21">
        <f>IF(G21=0," ",1/G21)</f>
        <v>7.826832887725647E-3</v>
      </c>
      <c r="F21"/>
      <c r="G21" s="22">
        <f>SUM(C21:D21)/2</f>
        <v>127.76560000000001</v>
      </c>
      <c r="I21" s="57"/>
      <c r="J21" s="57"/>
      <c r="K21" s="57"/>
      <c r="L21" s="57"/>
      <c r="M21" s="57"/>
      <c r="N21" s="57"/>
      <c r="O21" s="58"/>
      <c r="P21" s="58"/>
      <c r="Q21" s="58"/>
    </row>
    <row r="22" spans="1:18" x14ac:dyDescent="0.35">
      <c r="A22" s="57" t="s">
        <v>44</v>
      </c>
      <c r="B22" s="57" t="s">
        <v>64</v>
      </c>
      <c r="C22" s="57">
        <v>2186.3049000000001</v>
      </c>
      <c r="D22" s="58">
        <v>2215.2701000000002</v>
      </c>
      <c r="E22" s="23">
        <f>IF(G22=0," ",1/G22)</f>
        <v>4.5438280615461504E-4</v>
      </c>
      <c r="F22"/>
      <c r="G22" s="24">
        <f>SUM(C22:D22)/2</f>
        <v>2200.7875000000004</v>
      </c>
      <c r="J22" s="57"/>
      <c r="K22" s="57"/>
      <c r="L22" s="57"/>
      <c r="M22" s="57"/>
      <c r="N22" s="57"/>
      <c r="O22" s="58"/>
      <c r="P22" s="58"/>
      <c r="Q22" s="58"/>
      <c r="R22" s="58"/>
    </row>
    <row r="23" spans="1:18" x14ac:dyDescent="0.35">
      <c r="A23" s="57" t="s">
        <v>45</v>
      </c>
      <c r="B23" s="57" t="s">
        <v>65</v>
      </c>
      <c r="C23" s="57">
        <v>1.43E-2</v>
      </c>
      <c r="D23" s="57">
        <v>1.43E-2</v>
      </c>
      <c r="E23" s="17">
        <f>SUM(C23:D23)/2</f>
        <v>1.43E-2</v>
      </c>
      <c r="F23"/>
      <c r="G23" s="18">
        <f>IF(E23=0," ",1/E23)</f>
        <v>69.930069930069934</v>
      </c>
      <c r="J23" s="57"/>
      <c r="K23" s="57"/>
      <c r="L23" s="57"/>
      <c r="M23" s="57"/>
      <c r="N23" s="57"/>
      <c r="P23" s="58"/>
      <c r="Q23" s="58"/>
      <c r="R23" s="58"/>
    </row>
    <row r="24" spans="1:18" x14ac:dyDescent="0.35">
      <c r="E24" s="17">
        <f>SUM(C24:D24)/2</f>
        <v>0</v>
      </c>
      <c r="F24"/>
      <c r="G24" s="18" t="str">
        <f>IF(E24=0," ",1/E24)</f>
        <v xml:space="preserve"> </v>
      </c>
      <c r="J24" s="57"/>
      <c r="K24" s="57"/>
      <c r="M24" s="57"/>
    </row>
    <row r="25" spans="1:18" x14ac:dyDescent="0.35">
      <c r="L25" s="57"/>
    </row>
    <row r="26" spans="1:18" x14ac:dyDescent="0.35">
      <c r="L26" s="57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4"/>
  <sheetViews>
    <sheetView workbookViewId="0">
      <selection activeCell="A2" sqref="A2"/>
    </sheetView>
  </sheetViews>
  <sheetFormatPr defaultColWidth="9.1796875" defaultRowHeight="14.5" x14ac:dyDescent="0.35"/>
  <cols>
    <col min="1" max="1" width="27.179687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54296875" style="14" customWidth="1"/>
    <col min="7" max="7" width="11.54296875" style="14" bestFit="1" customWidth="1"/>
    <col min="8" max="13" width="9.1796875" style="14"/>
    <col min="14" max="14" width="12.1796875" style="14" bestFit="1" customWidth="1"/>
    <col min="15" max="16384" width="9.1796875" style="14"/>
  </cols>
  <sheetData>
    <row r="1" spans="1:17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7" x14ac:dyDescent="0.35">
      <c r="A2" s="59">
        <f>('07-07'!A2)+23</f>
        <v>46233</v>
      </c>
      <c r="B2" s="12"/>
      <c r="C2" s="13"/>
      <c r="D2"/>
      <c r="E2" s="1"/>
      <c r="F2"/>
      <c r="G2"/>
      <c r="I2" s="57"/>
    </row>
    <row r="3" spans="1:17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</row>
    <row r="4" spans="1:17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N4" s="57"/>
      <c r="O4" s="57"/>
    </row>
    <row r="5" spans="1:17" x14ac:dyDescent="0.35">
      <c r="A5" s="6"/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L5" s="57"/>
      <c r="M5" s="57"/>
      <c r="N5" s="57"/>
      <c r="O5" s="57"/>
      <c r="P5" s="57"/>
      <c r="Q5" s="57"/>
    </row>
    <row r="6" spans="1:17" x14ac:dyDescent="0.35">
      <c r="A6" s="6"/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K6" s="57"/>
      <c r="L6" s="57"/>
      <c r="M6" s="57"/>
      <c r="N6" s="57"/>
      <c r="O6" s="57"/>
      <c r="P6" s="57"/>
      <c r="Q6" s="57"/>
    </row>
    <row r="7" spans="1:17" x14ac:dyDescent="0.35">
      <c r="A7" s="6"/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K7" s="57"/>
      <c r="L7" s="57"/>
      <c r="M7" s="57"/>
      <c r="N7" s="57"/>
      <c r="O7" s="57"/>
      <c r="P7" s="57"/>
      <c r="Q7" s="57"/>
    </row>
    <row r="8" spans="1:17" x14ac:dyDescent="0.35">
      <c r="A8" s="6"/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K8" s="57"/>
      <c r="L8" s="57"/>
      <c r="M8" s="57"/>
      <c r="N8" s="57"/>
      <c r="O8" s="57"/>
      <c r="P8" s="57"/>
      <c r="Q8" s="57"/>
    </row>
    <row r="9" spans="1:17" x14ac:dyDescent="0.35">
      <c r="A9" s="6"/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K9" s="57"/>
      <c r="L9" s="57"/>
      <c r="M9" s="57"/>
      <c r="N9" s="57"/>
      <c r="O9" s="57"/>
      <c r="P9" s="57"/>
      <c r="Q9" s="57"/>
    </row>
    <row r="10" spans="1:17" x14ac:dyDescent="0.35">
      <c r="A10" s="6"/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K10" s="57"/>
      <c r="L10" s="57"/>
      <c r="M10" s="57"/>
      <c r="N10" s="57"/>
      <c r="O10" s="57"/>
      <c r="P10" s="57"/>
      <c r="Q10" s="57"/>
    </row>
    <row r="11" spans="1:17" x14ac:dyDescent="0.35">
      <c r="A11" s="6"/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K11" s="57"/>
      <c r="L11" s="57"/>
      <c r="M11" s="57"/>
      <c r="N11" s="57"/>
      <c r="O11" s="57"/>
      <c r="P11" s="57"/>
      <c r="Q11" s="57"/>
    </row>
    <row r="12" spans="1:17" x14ac:dyDescent="0.35">
      <c r="A12" s="6"/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K12" s="57"/>
      <c r="L12" s="57"/>
      <c r="M12" s="57"/>
      <c r="N12" s="57"/>
      <c r="O12" s="57"/>
      <c r="P12" s="57"/>
      <c r="Q12" s="57"/>
    </row>
    <row r="13" spans="1:17" x14ac:dyDescent="0.35">
      <c r="A13" s="6"/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K13" s="57"/>
      <c r="L13" s="57"/>
      <c r="M13" s="57"/>
      <c r="N13" s="57"/>
      <c r="O13" s="57"/>
      <c r="P13" s="57"/>
      <c r="Q13" s="57"/>
    </row>
    <row r="14" spans="1:17" x14ac:dyDescent="0.35">
      <c r="A14" s="6"/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K14" s="57"/>
      <c r="L14" s="57"/>
      <c r="M14" s="57"/>
      <c r="N14" s="57"/>
      <c r="O14" s="57"/>
      <c r="P14" s="57"/>
      <c r="Q14" s="57"/>
    </row>
    <row r="15" spans="1:17" x14ac:dyDescent="0.35">
      <c r="A15" s="6"/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K15" s="57"/>
      <c r="L15" s="57"/>
      <c r="M15" s="57"/>
      <c r="N15" s="57"/>
      <c r="O15" s="57"/>
      <c r="P15" s="57"/>
      <c r="Q15" s="57"/>
    </row>
    <row r="16" spans="1:17" x14ac:dyDescent="0.35">
      <c r="A16" s="6"/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K16" s="57"/>
      <c r="L16" s="57"/>
      <c r="M16" s="57"/>
      <c r="N16" s="57"/>
      <c r="O16" s="57"/>
      <c r="P16" s="57"/>
      <c r="Q16" s="57"/>
    </row>
    <row r="17" spans="1:17" x14ac:dyDescent="0.35">
      <c r="A17" s="6"/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K17" s="57"/>
      <c r="L17" s="57"/>
      <c r="M17" s="57"/>
      <c r="N17" s="57"/>
      <c r="O17" s="57"/>
      <c r="P17" s="57"/>
      <c r="Q17" s="57"/>
    </row>
    <row r="18" spans="1:17" x14ac:dyDescent="0.35">
      <c r="A18" s="6"/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K18" s="57"/>
      <c r="L18" s="57"/>
      <c r="M18" s="57"/>
      <c r="N18" s="57"/>
      <c r="O18" s="57"/>
      <c r="P18" s="57"/>
      <c r="Q18" s="57"/>
    </row>
    <row r="19" spans="1:17" x14ac:dyDescent="0.35">
      <c r="A19" s="6"/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K19" s="57"/>
      <c r="L19" s="57"/>
      <c r="M19" s="57"/>
      <c r="N19" s="57"/>
      <c r="O19" s="57"/>
      <c r="P19" s="57"/>
      <c r="Q19" s="57"/>
    </row>
    <row r="20" spans="1:17" x14ac:dyDescent="0.35">
      <c r="A20" s="6"/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K20" s="57"/>
      <c r="L20" s="57"/>
      <c r="M20" s="57"/>
      <c r="N20" s="57"/>
      <c r="O20" s="57"/>
      <c r="P20" s="57"/>
      <c r="Q20" s="57"/>
    </row>
    <row r="21" spans="1:17" x14ac:dyDescent="0.35">
      <c r="A21" s="6"/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K21" s="57"/>
      <c r="L21" s="57"/>
      <c r="M21" s="57"/>
      <c r="N21" s="57"/>
      <c r="O21" s="57"/>
      <c r="P21" s="57"/>
      <c r="Q21" s="57"/>
    </row>
    <row r="22" spans="1:17" x14ac:dyDescent="0.35">
      <c r="A22" s="6"/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K22" s="57"/>
      <c r="L22" s="57"/>
      <c r="M22" s="57"/>
      <c r="N22" s="57"/>
      <c r="O22" s="57"/>
      <c r="P22" s="57"/>
      <c r="Q22" s="57"/>
    </row>
    <row r="23" spans="1:17" x14ac:dyDescent="0.35">
      <c r="A23" s="6"/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K23" s="57"/>
      <c r="L23" s="57"/>
      <c r="M23" s="57"/>
      <c r="N23" s="57"/>
      <c r="O23" s="57"/>
      <c r="P23" s="57"/>
      <c r="Q23" s="57"/>
    </row>
    <row r="24" spans="1:17" x14ac:dyDescent="0.35">
      <c r="E24" s="17">
        <f>SUM(C24:D24)/2</f>
        <v>0</v>
      </c>
      <c r="F24"/>
      <c r="G24" s="18" t="str">
        <f>IF(E24=0," ",1/E24)</f>
        <v xml:space="preserve"> </v>
      </c>
      <c r="K24" s="57"/>
      <c r="L24" s="57"/>
      <c r="M24" s="57"/>
      <c r="N24" s="57"/>
      <c r="O24" s="57"/>
      <c r="P24" s="57"/>
      <c r="Q24" s="57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532D-C2F5-47F7-992B-1361938B27CE}">
  <dimension ref="A1:S24"/>
  <sheetViews>
    <sheetView workbookViewId="0">
      <selection activeCell="A2" sqref="A2"/>
    </sheetView>
  </sheetViews>
  <sheetFormatPr defaultColWidth="9.1796875" defaultRowHeight="14.5" x14ac:dyDescent="0.35"/>
  <cols>
    <col min="1" max="1" width="29.1796875" style="14" bestFit="1" customWidth="1"/>
    <col min="2" max="2" width="10.26953125" style="14" bestFit="1" customWidth="1"/>
    <col min="3" max="4" width="11.54296875" style="14" bestFit="1" customWidth="1"/>
    <col min="5" max="5" width="11.54296875" style="26" bestFit="1" customWidth="1"/>
    <col min="6" max="6" width="3.54296875" style="14" customWidth="1"/>
    <col min="7" max="7" width="11.54296875" style="14" bestFit="1" customWidth="1"/>
    <col min="8" max="13" width="9.1796875" style="14"/>
    <col min="14" max="14" width="12.1796875" style="14" bestFit="1" customWidth="1"/>
    <col min="15" max="16384" width="9.1796875" style="14"/>
  </cols>
  <sheetData>
    <row r="1" spans="1:16" ht="18.5" x14ac:dyDescent="0.45">
      <c r="A1" s="71" t="s">
        <v>0</v>
      </c>
      <c r="B1" s="71"/>
      <c r="C1" s="71"/>
      <c r="D1" s="71"/>
      <c r="E1" s="71"/>
      <c r="F1" s="71"/>
      <c r="G1" s="71"/>
    </row>
    <row r="2" spans="1:16" x14ac:dyDescent="0.35">
      <c r="A2" s="59">
        <f>('07-07'!A2)+22</f>
        <v>46232</v>
      </c>
      <c r="B2" s="12"/>
      <c r="C2" s="13"/>
      <c r="D2"/>
      <c r="E2" s="1"/>
      <c r="F2"/>
      <c r="G2"/>
      <c r="I2" s="57"/>
    </row>
    <row r="3" spans="1:16" x14ac:dyDescent="0.35">
      <c r="A3" s="5"/>
      <c r="B3" s="5"/>
      <c r="C3" s="5"/>
      <c r="D3"/>
      <c r="E3" s="11" t="s">
        <v>20</v>
      </c>
      <c r="F3" s="10"/>
      <c r="G3" s="9" t="s">
        <v>21</v>
      </c>
      <c r="I3" s="57"/>
      <c r="J3" s="57"/>
    </row>
    <row r="4" spans="1:16" x14ac:dyDescent="0.35">
      <c r="A4" s="2" t="s">
        <v>22</v>
      </c>
      <c r="B4" s="2" t="s">
        <v>13</v>
      </c>
      <c r="C4" s="3" t="s">
        <v>23</v>
      </c>
      <c r="D4" s="3" t="s">
        <v>24</v>
      </c>
      <c r="E4" s="4" t="s">
        <v>14</v>
      </c>
      <c r="F4"/>
      <c r="G4" s="4" t="s">
        <v>14</v>
      </c>
      <c r="I4" s="57"/>
      <c r="J4" s="57"/>
      <c r="N4" s="57"/>
      <c r="O4" s="57"/>
    </row>
    <row r="5" spans="1:16" x14ac:dyDescent="0.35">
      <c r="A5" s="6" t="s">
        <v>27</v>
      </c>
      <c r="B5" s="7"/>
      <c r="C5" s="7"/>
      <c r="D5" s="7"/>
      <c r="E5" s="15">
        <f t="shared" ref="E5:E17" si="0">SUM(C5:D5)/2</f>
        <v>0</v>
      </c>
      <c r="F5"/>
      <c r="G5" s="16" t="str">
        <f>IF(E5=0," ",1/E5)</f>
        <v xml:space="preserve"> </v>
      </c>
      <c r="I5" s="57"/>
      <c r="J5" s="57"/>
      <c r="L5" s="57"/>
      <c r="M5" s="57"/>
      <c r="N5" s="57"/>
      <c r="O5" s="57"/>
      <c r="P5" s="57"/>
    </row>
    <row r="6" spans="1:16" x14ac:dyDescent="0.35">
      <c r="A6" s="6" t="s">
        <v>28</v>
      </c>
      <c r="B6" s="7"/>
      <c r="C6" s="7"/>
      <c r="D6" s="7"/>
      <c r="E6" s="15">
        <f t="shared" si="0"/>
        <v>0</v>
      </c>
      <c r="F6"/>
      <c r="G6" s="16" t="str">
        <f t="shared" ref="G6:G17" si="1">IF(E6=0," ",1/E6)</f>
        <v xml:space="preserve"> </v>
      </c>
      <c r="I6" s="57"/>
      <c r="J6" s="57"/>
      <c r="L6" s="57"/>
      <c r="M6" s="57"/>
      <c r="N6" s="57"/>
      <c r="O6" s="57"/>
      <c r="P6" s="57"/>
    </row>
    <row r="7" spans="1:16" x14ac:dyDescent="0.35">
      <c r="A7" s="6" t="s">
        <v>29</v>
      </c>
      <c r="B7" s="7"/>
      <c r="C7" s="7"/>
      <c r="D7" s="7"/>
      <c r="E7" s="17">
        <f t="shared" si="0"/>
        <v>0</v>
      </c>
      <c r="F7"/>
      <c r="G7" s="18" t="str">
        <f t="shared" si="1"/>
        <v xml:space="preserve"> </v>
      </c>
      <c r="I7" s="57"/>
      <c r="J7" s="57"/>
      <c r="L7" s="57"/>
      <c r="M7" s="57"/>
      <c r="N7" s="57"/>
      <c r="O7" s="57"/>
      <c r="P7" s="57"/>
    </row>
    <row r="8" spans="1:16" x14ac:dyDescent="0.35">
      <c r="A8" s="6" t="s">
        <v>30</v>
      </c>
      <c r="B8" s="7"/>
      <c r="C8" s="7"/>
      <c r="D8" s="7"/>
      <c r="E8" s="17">
        <f t="shared" si="0"/>
        <v>0</v>
      </c>
      <c r="F8"/>
      <c r="G8" s="18" t="str">
        <f t="shared" si="1"/>
        <v xml:space="preserve"> </v>
      </c>
      <c r="I8" s="57"/>
      <c r="J8" s="57"/>
      <c r="L8" s="57"/>
      <c r="M8" s="57"/>
      <c r="N8" s="57"/>
      <c r="O8" s="57"/>
      <c r="P8" s="57"/>
    </row>
    <row r="9" spans="1:16" x14ac:dyDescent="0.35">
      <c r="A9" s="6" t="s">
        <v>31</v>
      </c>
      <c r="B9" s="7"/>
      <c r="C9" s="7"/>
      <c r="D9" s="7"/>
      <c r="E9" s="17">
        <f t="shared" si="0"/>
        <v>0</v>
      </c>
      <c r="F9"/>
      <c r="G9" s="18" t="str">
        <f t="shared" si="1"/>
        <v xml:space="preserve"> </v>
      </c>
      <c r="I9" s="57"/>
      <c r="J9" s="57"/>
      <c r="L9" s="57"/>
      <c r="M9" s="57"/>
      <c r="N9" s="57"/>
      <c r="O9" s="57"/>
      <c r="P9" s="57"/>
    </row>
    <row r="10" spans="1:16" x14ac:dyDescent="0.35">
      <c r="A10" s="6" t="s">
        <v>32</v>
      </c>
      <c r="B10" s="7"/>
      <c r="C10" s="7"/>
      <c r="D10" s="7"/>
      <c r="E10" s="17">
        <f t="shared" si="0"/>
        <v>0</v>
      </c>
      <c r="F10"/>
      <c r="G10" s="18" t="str">
        <f t="shared" si="1"/>
        <v xml:space="preserve"> </v>
      </c>
      <c r="I10" s="57"/>
      <c r="J10" s="57"/>
      <c r="L10" s="57"/>
      <c r="M10" s="57"/>
      <c r="N10" s="57"/>
      <c r="O10" s="57"/>
      <c r="P10" s="57"/>
    </row>
    <row r="11" spans="1:16" x14ac:dyDescent="0.35">
      <c r="A11" s="6" t="s">
        <v>33</v>
      </c>
      <c r="B11" s="7"/>
      <c r="C11" s="7"/>
      <c r="D11" s="7"/>
      <c r="E11" s="17">
        <f t="shared" si="0"/>
        <v>0</v>
      </c>
      <c r="F11"/>
      <c r="G11" s="18" t="str">
        <f t="shared" si="1"/>
        <v xml:space="preserve"> </v>
      </c>
      <c r="I11" s="57"/>
      <c r="J11" s="57"/>
      <c r="L11" s="57"/>
      <c r="M11" s="57"/>
      <c r="N11" s="57"/>
      <c r="O11" s="57"/>
      <c r="P11" s="57"/>
    </row>
    <row r="12" spans="1:16" x14ac:dyDescent="0.35">
      <c r="A12" s="6" t="s">
        <v>34</v>
      </c>
      <c r="B12" s="7"/>
      <c r="C12" s="7"/>
      <c r="D12" s="7"/>
      <c r="E12" s="17">
        <f t="shared" si="0"/>
        <v>0</v>
      </c>
      <c r="F12"/>
      <c r="G12" s="18" t="str">
        <f t="shared" si="1"/>
        <v xml:space="preserve"> </v>
      </c>
      <c r="I12" s="57"/>
      <c r="J12" s="57"/>
      <c r="L12" s="57"/>
      <c r="M12" s="57"/>
      <c r="N12" s="57"/>
      <c r="O12" s="57"/>
      <c r="P12" s="57"/>
    </row>
    <row r="13" spans="1:16" x14ac:dyDescent="0.35">
      <c r="A13" s="6" t="s">
        <v>35</v>
      </c>
      <c r="B13" s="7"/>
      <c r="C13" s="7"/>
      <c r="D13" s="7"/>
      <c r="E13" s="17">
        <f t="shared" si="0"/>
        <v>0</v>
      </c>
      <c r="F13"/>
      <c r="G13" s="18" t="str">
        <f t="shared" si="1"/>
        <v xml:space="preserve"> </v>
      </c>
      <c r="I13" s="57"/>
      <c r="J13" s="57"/>
      <c r="L13" s="57"/>
      <c r="M13" s="57"/>
      <c r="N13" s="57"/>
      <c r="O13" s="57"/>
      <c r="P13" s="57"/>
    </row>
    <row r="14" spans="1:16" x14ac:dyDescent="0.35">
      <c r="A14" s="6" t="s">
        <v>36</v>
      </c>
      <c r="B14" s="7"/>
      <c r="C14" s="7"/>
      <c r="D14" s="7"/>
      <c r="E14" s="17">
        <f t="shared" si="0"/>
        <v>0</v>
      </c>
      <c r="F14"/>
      <c r="G14" s="18" t="str">
        <f t="shared" si="1"/>
        <v xml:space="preserve"> </v>
      </c>
      <c r="I14" s="57"/>
      <c r="J14" s="57"/>
      <c r="L14" s="57"/>
      <c r="M14" s="57"/>
      <c r="N14" s="57"/>
      <c r="O14" s="57"/>
      <c r="P14" s="57"/>
    </row>
    <row r="15" spans="1:16" x14ac:dyDescent="0.35">
      <c r="A15" s="6" t="s">
        <v>37</v>
      </c>
      <c r="B15" s="7"/>
      <c r="C15" s="7"/>
      <c r="D15" s="7"/>
      <c r="E15" s="17">
        <f t="shared" si="0"/>
        <v>0</v>
      </c>
      <c r="F15"/>
      <c r="G15" s="18" t="str">
        <f t="shared" si="1"/>
        <v xml:space="preserve"> </v>
      </c>
      <c r="I15" s="57"/>
      <c r="J15" s="57"/>
      <c r="L15" s="57"/>
      <c r="M15" s="57"/>
      <c r="N15" s="57"/>
      <c r="O15" s="57"/>
      <c r="P15" s="57"/>
    </row>
    <row r="16" spans="1:16" x14ac:dyDescent="0.35">
      <c r="A16" s="6" t="s">
        <v>38</v>
      </c>
      <c r="B16" s="7"/>
      <c r="C16" s="7"/>
      <c r="D16" s="7"/>
      <c r="E16" s="15">
        <f t="shared" si="0"/>
        <v>0</v>
      </c>
      <c r="F16"/>
      <c r="G16" s="16" t="str">
        <f t="shared" si="1"/>
        <v xml:space="preserve"> </v>
      </c>
      <c r="I16" s="57"/>
      <c r="J16" s="57"/>
      <c r="L16" s="57"/>
      <c r="M16" s="57"/>
      <c r="N16" s="57"/>
      <c r="O16" s="57"/>
      <c r="P16" s="57"/>
    </row>
    <row r="17" spans="1:19" x14ac:dyDescent="0.35">
      <c r="A17" s="6" t="s">
        <v>39</v>
      </c>
      <c r="B17" s="7"/>
      <c r="C17" s="7"/>
      <c r="D17" s="7"/>
      <c r="E17" s="17">
        <f t="shared" si="0"/>
        <v>0</v>
      </c>
      <c r="F17"/>
      <c r="G17" s="18" t="str">
        <f t="shared" si="1"/>
        <v xml:space="preserve"> </v>
      </c>
      <c r="I17" s="57"/>
      <c r="J17" s="57"/>
      <c r="L17" s="57"/>
      <c r="M17" s="57"/>
      <c r="N17" s="57"/>
      <c r="O17" s="57"/>
      <c r="P17" s="57"/>
    </row>
    <row r="18" spans="1:19" x14ac:dyDescent="0.35">
      <c r="A18" s="6" t="s">
        <v>40</v>
      </c>
      <c r="B18" s="7"/>
      <c r="C18" s="7"/>
      <c r="D18" s="7"/>
      <c r="E18" s="19" t="str">
        <f>IF(G18=0," ",1/G18)</f>
        <v xml:space="preserve"> </v>
      </c>
      <c r="F18"/>
      <c r="G18" s="20">
        <f>SUM(C18:D18)/2</f>
        <v>0</v>
      </c>
      <c r="I18" s="57"/>
      <c r="J18" s="57"/>
      <c r="L18" s="57"/>
      <c r="M18" s="57"/>
      <c r="N18" s="57"/>
      <c r="O18" s="57"/>
      <c r="P18" s="57"/>
    </row>
    <row r="19" spans="1:19" x14ac:dyDescent="0.35">
      <c r="A19" s="6" t="s">
        <v>41</v>
      </c>
      <c r="B19" s="7"/>
      <c r="C19" s="7"/>
      <c r="D19" s="7"/>
      <c r="E19" s="21" t="str">
        <f>IF(G19=0," ",1/G19)</f>
        <v xml:space="preserve"> </v>
      </c>
      <c r="F19"/>
      <c r="G19" s="22">
        <f>SUM(C19:D19)/2</f>
        <v>0</v>
      </c>
      <c r="I19" s="57"/>
      <c r="J19" s="57"/>
      <c r="L19" s="57"/>
      <c r="M19" s="57"/>
      <c r="N19" s="57"/>
      <c r="O19" s="57"/>
      <c r="P19" s="57"/>
    </row>
    <row r="20" spans="1:19" x14ac:dyDescent="0.35">
      <c r="A20" s="6" t="s">
        <v>42</v>
      </c>
      <c r="B20" s="7"/>
      <c r="C20" s="7"/>
      <c r="D20" s="7"/>
      <c r="E20" s="21" t="str">
        <f>IF(G20=0," ",1/G20)</f>
        <v xml:space="preserve"> </v>
      </c>
      <c r="F20"/>
      <c r="G20" s="22">
        <f>SUM(C20:D20)/2</f>
        <v>0</v>
      </c>
      <c r="I20" s="57"/>
      <c r="J20" s="57"/>
      <c r="L20" s="57"/>
      <c r="M20" s="57"/>
      <c r="N20" s="57"/>
      <c r="O20" s="57"/>
      <c r="P20" s="57"/>
    </row>
    <row r="21" spans="1:19" x14ac:dyDescent="0.35">
      <c r="A21" s="6" t="s">
        <v>43</v>
      </c>
      <c r="B21" s="7"/>
      <c r="C21" s="7"/>
      <c r="D21" s="7"/>
      <c r="E21" s="21" t="str">
        <f>IF(G21=0," ",1/G21)</f>
        <v xml:space="preserve"> </v>
      </c>
      <c r="F21"/>
      <c r="G21" s="22">
        <f>SUM(C21:D21)/2</f>
        <v>0</v>
      </c>
      <c r="I21" s="57"/>
      <c r="J21" s="57"/>
      <c r="L21" s="57"/>
      <c r="M21" s="57"/>
      <c r="N21" s="57"/>
      <c r="O21" s="57"/>
      <c r="P21" s="57"/>
    </row>
    <row r="22" spans="1:19" x14ac:dyDescent="0.35">
      <c r="A22" s="6" t="s">
        <v>44</v>
      </c>
      <c r="B22" s="7"/>
      <c r="C22" s="7"/>
      <c r="D22" s="7"/>
      <c r="E22" s="23" t="str">
        <f>IF(G22=0," ",1/G22)</f>
        <v xml:space="preserve"> </v>
      </c>
      <c r="F22"/>
      <c r="G22" s="24">
        <f>SUM(C22:D22)/2</f>
        <v>0</v>
      </c>
      <c r="L22" s="57"/>
      <c r="M22" s="57"/>
      <c r="N22" s="57"/>
      <c r="O22" s="57"/>
      <c r="P22" s="57"/>
      <c r="Q22" s="58"/>
      <c r="R22" s="58"/>
      <c r="S22" s="58"/>
    </row>
    <row r="23" spans="1:19" x14ac:dyDescent="0.35">
      <c r="A23" s="6" t="s">
        <v>45</v>
      </c>
      <c r="B23" s="7"/>
      <c r="C23" s="7"/>
      <c r="D23" s="7"/>
      <c r="E23" s="17">
        <f>SUM(C23:D23)/2</f>
        <v>0</v>
      </c>
      <c r="F23"/>
      <c r="G23" s="18" t="str">
        <f>IF(E23=0," ",1/E23)</f>
        <v xml:space="preserve"> </v>
      </c>
      <c r="L23" s="57"/>
      <c r="M23" s="57"/>
      <c r="N23" s="57"/>
      <c r="O23" s="57"/>
      <c r="P23" s="57"/>
    </row>
    <row r="24" spans="1:19" x14ac:dyDescent="0.35">
      <c r="E24" s="17">
        <f>SUM(C24:D24)/2</f>
        <v>0</v>
      </c>
      <c r="F24"/>
      <c r="G24" s="18" t="str">
        <f>IF(E24=0," ",1/E24)</f>
        <v xml:space="preserve"> </v>
      </c>
      <c r="L24" s="57"/>
      <c r="M24" s="57"/>
      <c r="N24" s="57"/>
      <c r="O24" s="57"/>
      <c r="P24" s="57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Summary</vt:lpstr>
      <vt:lpstr>01-07</vt:lpstr>
      <vt:lpstr>02-07</vt:lpstr>
      <vt:lpstr>03-06</vt:lpstr>
      <vt:lpstr>06-07</vt:lpstr>
      <vt:lpstr>07-07</vt:lpstr>
      <vt:lpstr>09-01</vt:lpstr>
      <vt:lpstr>08-07</vt:lpstr>
      <vt:lpstr>09-07</vt:lpstr>
      <vt:lpstr>10-07</vt:lpstr>
      <vt:lpstr>13-07</vt:lpstr>
      <vt:lpstr>14-07</vt:lpstr>
      <vt:lpstr>15-07</vt:lpstr>
      <vt:lpstr>16-07</vt:lpstr>
      <vt:lpstr>17-07</vt:lpstr>
      <vt:lpstr>20-07</vt:lpstr>
      <vt:lpstr>21-07</vt:lpstr>
      <vt:lpstr>22-06</vt:lpstr>
      <vt:lpstr>23-07</vt:lpstr>
      <vt:lpstr>24-07</vt:lpstr>
      <vt:lpstr>27-07</vt:lpstr>
      <vt:lpstr>28-07</vt:lpstr>
      <vt:lpstr>29-07 </vt:lpstr>
      <vt:lpstr>30-07</vt:lpstr>
      <vt:lpstr>31-07</vt:lpstr>
      <vt:lpstr>Sheet1</vt:lpstr>
      <vt:lpstr>30-01</vt:lpstr>
      <vt:lpstr>28-01</vt:lpstr>
      <vt:lpstr>30-10</vt:lpstr>
      <vt:lpstr>30-0100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Gabby Adjetey</dc:creator>
  <cp:keywords/>
  <dc:description/>
  <cp:lastModifiedBy>Doreen-Jean Aplerh-Doku</cp:lastModifiedBy>
  <cp:revision/>
  <cp:lastPrinted>2026-07-02T11:23:31Z</cp:lastPrinted>
  <dcterms:created xsi:type="dcterms:W3CDTF">2015-10-12T10:19:23Z</dcterms:created>
  <dcterms:modified xsi:type="dcterms:W3CDTF">2026-07-15T18:04:01Z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7aa4297e-12cd-497c-86a5-eba1cd957de7</vt:lpwstr>
  </property>
</Properties>
</file>